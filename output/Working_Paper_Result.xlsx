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Working_Paper_Result" sheetId="2" state="visible" r:id="rId2"/>
  </sheets>
  <definedNames/>
  <calcPr calcId="124519" fullCalcOnLoad="1"/>
</workbook>
</file>

<file path=xl/styles.xml><?xml version="1.0" encoding="utf-8"?>
<styleSheet xmlns="http://schemas.openxmlformats.org/spreadsheetml/2006/main">
  <numFmts count="2">
    <numFmt numFmtId="164" formatCode="_(* #,##0_);_(* \(#,##0\);_(* &quot;-&quot;??_);_(@_)"/>
    <numFmt numFmtId="165" formatCode="[$-409]d/mmm/yy"/>
  </numFmts>
  <fonts count="15">
    <font>
      <name val="Calibri"/>
      <color theme="1"/>
      <sz val="11"/>
      <scheme val="minor"/>
    </font>
    <font>
      <name val="Calibri"/>
      <b val="1"/>
      <color theme="1"/>
      <sz val="10"/>
    </font>
    <font>
      <name val="Calibri"/>
      <color theme="1"/>
      <sz val="10"/>
    </font>
    <font/>
    <font>
      <name val="Calibri"/>
      <b val="1"/>
      <color theme="0"/>
      <sz val="10"/>
    </font>
    <font>
      <name val="Calibri"/>
      <color theme="1"/>
      <sz val="11"/>
    </font>
    <font>
      <b val="1"/>
    </font>
    <font>
      <name val="Calibri"/>
      <b val="1"/>
      <color rgb="00FFFFFF"/>
      <sz val="16"/>
    </font>
    <font>
      <name val="Calibri"/>
      <color rgb="00E2E8F0"/>
      <sz val="11"/>
    </font>
    <font>
      <name val="Calibri"/>
      <b val="1"/>
      <color rgb="004A5568"/>
      <sz val="10"/>
    </font>
    <font>
      <name val="Calibri"/>
      <b val="1"/>
      <color rgb="001A202C"/>
      <sz val="16"/>
    </font>
    <font>
      <name val="Calibri"/>
      <b val="1"/>
      <color rgb="001A365D"/>
      <sz val="12"/>
    </font>
    <font>
      <name val="Calibri"/>
      <b val="1"/>
      <color rgb="00FFFFFF"/>
      <sz val="10"/>
    </font>
    <font>
      <name val="Calibri"/>
      <color rgb="002D3748"/>
      <sz val="10"/>
    </font>
    <font>
      <name val="Calibri"/>
      <b val="1"/>
      <color rgb="001A365D"/>
      <sz val="11"/>
    </font>
  </fonts>
  <fills count="6">
    <fill>
      <patternFill/>
    </fill>
    <fill>
      <patternFill patternType="lightGray"/>
    </fill>
    <fill>
      <patternFill patternType="solid">
        <fgColor rgb="FF44546A"/>
        <bgColor rgb="FF44546A"/>
      </patternFill>
    </fill>
    <fill>
      <patternFill patternType="solid">
        <fgColor rgb="001A365D"/>
        <bgColor rgb="001A365D"/>
      </patternFill>
    </fill>
    <fill>
      <patternFill patternType="solid">
        <fgColor rgb="00F7FAFC"/>
        <bgColor rgb="00F7FAFC"/>
      </patternFill>
    </fill>
    <fill>
      <patternFill patternType="solid">
        <fgColor rgb="002B6CB0"/>
        <bgColor rgb="002B6CB0"/>
      </patternFill>
    </fill>
  </fills>
  <borders count="30">
    <border/>
    <border>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top style="medium">
        <color rgb="FF000000"/>
      </top>
    </border>
    <border>
      <left style="thin">
        <color rgb="FF000000"/>
      </left>
      <right style="medium">
        <color rgb="FF000000"/>
      </right>
      <top style="medium">
        <color rgb="FF000000"/>
      </top>
    </border>
    <border>
      <left style="medium">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bottom style="thin">
        <color rgb="FF000000"/>
      </bottom>
    </border>
    <border>
      <left style="thin">
        <color rgb="FF000000"/>
      </left>
      <right style="medium">
        <color rgb="FF000000"/>
      </right>
      <bottom style="thin">
        <color rgb="FF000000"/>
      </bottom>
    </border>
    <border>
      <left style="medium">
        <color rgb="FF000000"/>
      </left>
      <right style="thin">
        <color rgb="FF000000"/>
      </right>
    </border>
    <border>
      <left style="thin">
        <color rgb="FF000000"/>
      </left>
      <right style="thin">
        <color rgb="FF000000"/>
      </right>
    </border>
    <border>
      <left style="thin">
        <color rgb="FF000000"/>
      </left>
    </border>
    <border>
      <left style="thin">
        <color rgb="FF000000"/>
      </left>
      <right style="medium">
        <color rgb="FF000000"/>
      </right>
    </border>
    <border>
      <left style="medium">
        <color rgb="FF000000"/>
      </left>
      <right style="thin">
        <color rgb="FF000000"/>
      </right>
      <top style="medium">
        <color rgb="FF000000"/>
      </top>
      <bottom style="thin">
        <color rgb="FF000000"/>
      </bottom>
    </border>
    <border>
      <left style="medium">
        <color rgb="FF000000"/>
      </left>
    </border>
    <border>
      <left style="thin">
        <color rgb="FF000000"/>
      </left>
      <right style="thin">
        <color rgb="FF000000"/>
      </right>
      <top style="medium">
        <color rgb="FF000000"/>
      </top>
      <bottom style="thin">
        <color rgb="FF000000"/>
      </bottom>
    </border>
    <border>
      <top style="medium">
        <color rgb="FF000000"/>
      </top>
    </border>
    <border>
      <right style="thin">
        <color rgb="FF000000"/>
      </right>
      <top style="medium">
        <color rgb="FF000000"/>
      </top>
    </border>
    <border>
      <left style="thin">
        <color rgb="FF000000"/>
      </left>
      <right/>
      <top style="medium">
        <color rgb="FF000000"/>
      </top>
      <bottom style="thin">
        <color rgb="FF000000"/>
      </bottom>
    </border>
    <border>
      <left style="thin">
        <color rgb="FF000000"/>
      </left>
      <bottom style="thin">
        <color rgb="FF000000"/>
      </bottom>
    </border>
    <border>
      <left style="thin">
        <color rgb="FF000000"/>
      </left>
      <right style="medium">
        <color rgb="FF000000"/>
      </right>
      <top style="medium">
        <color rgb="FF000000"/>
      </top>
      <bottom style="thin">
        <color rgb="FF000000"/>
      </bottom>
    </border>
    <border>
      <left style="thin">
        <color rgb="00D3D3D3"/>
      </left>
      <right style="thin">
        <color rgb="00D3D3D3"/>
      </right>
      <top style="thin">
        <color rgb="00D3D3D3"/>
      </top>
      <bottom style="thin">
        <color rgb="00D3D3D3"/>
      </bottom>
    </border>
    <border>
      <top style="thin"/>
      <bottom style="double"/>
    </border>
    <border>
      <left style="thin">
        <color rgb="00CBD5E0"/>
      </left>
      <right style="thin">
        <color rgb="00CBD5E0"/>
      </right>
      <top style="thin">
        <color rgb="00CBD5E0"/>
      </top>
      <bottom style="thin">
        <color rgb="00CBD5E0"/>
      </bottom>
    </border>
  </borders>
  <cellStyleXfs count="1">
    <xf numFmtId="0" fontId="0" fillId="0" borderId="0"/>
  </cellStyleXfs>
  <cellXfs count="59">
    <xf numFmtId="0" fontId="0" fillId="0" borderId="0" applyAlignment="1" pivotButton="0" quotePrefix="0" xfId="0">
      <alignment vertical="bottom"/>
    </xf>
    <xf numFmtId="0" fontId="1" fillId="0" borderId="0" pivotButton="0" quotePrefix="0" xfId="0"/>
    <xf numFmtId="0" fontId="2" fillId="0" borderId="0" pivotButton="0" quotePrefix="0" xfId="0"/>
    <xf numFmtId="164" fontId="2" fillId="0" borderId="0" applyAlignment="1" pivotButton="0" quotePrefix="0" xfId="0">
      <alignment horizontal="center"/>
    </xf>
    <xf numFmtId="165" fontId="2" fillId="0" borderId="0" pivotButton="0" quotePrefix="0" xfId="0"/>
    <xf numFmtId="164" fontId="2" fillId="0" borderId="0" pivotButton="0" quotePrefix="0" xfId="0"/>
    <xf numFmtId="165" fontId="2" fillId="0" borderId="1" applyAlignment="1" pivotButton="0" quotePrefix="0" xfId="0">
      <alignment horizontal="center"/>
    </xf>
    <xf numFmtId="0" fontId="3" fillId="0" borderId="1" pivotButton="0" quotePrefix="0" xfId="0"/>
    <xf numFmtId="0" fontId="4" fillId="2" borderId="2" applyAlignment="1" pivotButton="0" quotePrefix="0" xfId="0">
      <alignment horizontal="center" vertical="center"/>
    </xf>
    <xf numFmtId="0" fontId="4" fillId="2" borderId="3" applyAlignment="1" pivotButton="0" quotePrefix="0" xfId="0">
      <alignment horizontal="center" vertical="center"/>
    </xf>
    <xf numFmtId="164" fontId="4" fillId="2" borderId="3" applyAlignment="1" pivotButton="0" quotePrefix="0" xfId="0">
      <alignment horizontal="center" vertical="center"/>
    </xf>
    <xf numFmtId="0" fontId="4" fillId="2" borderId="4" applyAlignment="1" pivotButton="0" quotePrefix="0" xfId="0">
      <alignment horizontal="center" vertical="center"/>
    </xf>
    <xf numFmtId="0" fontId="3" fillId="0" borderId="5" pivotButton="0" quotePrefix="0" xfId="0"/>
    <xf numFmtId="0" fontId="3" fillId="0" borderId="6" pivotButton="0" quotePrefix="0" xfId="0"/>
    <xf numFmtId="0" fontId="4" fillId="2" borderId="7" applyAlignment="1" pivotButton="0" quotePrefix="0" xfId="0">
      <alignment horizontal="center" vertical="center"/>
    </xf>
    <xf numFmtId="0" fontId="4" fillId="2" borderId="8" applyAlignment="1" pivotButton="0" quotePrefix="0" xfId="0">
      <alignment horizontal="center" vertical="center"/>
    </xf>
    <xf numFmtId="0" fontId="3" fillId="0" borderId="9" pivotButton="0" quotePrefix="0" xfId="0"/>
    <xf numFmtId="0" fontId="3" fillId="0" borderId="10" pivotButton="0" quotePrefix="0" xfId="0"/>
    <xf numFmtId="165" fontId="4" fillId="2" borderId="11" applyAlignment="1" pivotButton="0" quotePrefix="0" xfId="0">
      <alignment horizontal="center"/>
    </xf>
    <xf numFmtId="165" fontId="4" fillId="2" borderId="12" applyAlignment="1" pivotButton="0" quotePrefix="0" xfId="0">
      <alignment horizontal="center"/>
    </xf>
    <xf numFmtId="164" fontId="4" fillId="2" borderId="12" applyAlignment="1" pivotButton="0" quotePrefix="0" xfId="0">
      <alignment horizontal="center"/>
    </xf>
    <xf numFmtId="0" fontId="3" fillId="0" borderId="13" pivotButton="0" quotePrefix="0" xfId="0"/>
    <xf numFmtId="0" fontId="3" fillId="0" borderId="14" pivotButton="0" quotePrefix="0" xfId="0"/>
    <xf numFmtId="14" fontId="2" fillId="0" borderId="15" pivotButton="0" quotePrefix="0" xfId="0"/>
    <xf numFmtId="0" fontId="2" fillId="0" borderId="16" pivotButton="0" quotePrefix="0" xfId="0"/>
    <xf numFmtId="164" fontId="2" fillId="0" borderId="16" applyAlignment="1" pivotButton="0" quotePrefix="0" xfId="0">
      <alignment horizontal="center"/>
    </xf>
    <xf numFmtId="14" fontId="5" fillId="0" borderId="0" applyAlignment="1" pivotButton="0" quotePrefix="0" xfId="0">
      <alignment vertical="top"/>
    </xf>
    <xf numFmtId="165" fontId="2" fillId="0" borderId="16" pivotButton="0" quotePrefix="0" xfId="0"/>
    <xf numFmtId="164" fontId="2" fillId="0" borderId="17" pivotButton="0" quotePrefix="0" xfId="0"/>
    <xf numFmtId="164" fontId="2" fillId="0" borderId="16" pivotButton="0" quotePrefix="0" xfId="0"/>
    <xf numFmtId="0" fontId="2" fillId="0" borderId="18" pivotButton="0" quotePrefix="0" xfId="0"/>
    <xf numFmtId="0" fontId="0" fillId="0" borderId="0" pivotButton="0" quotePrefix="0" xfId="0"/>
    <xf numFmtId="0" fontId="0" fillId="0" borderId="1" pivotButton="0" quotePrefix="0" xfId="0"/>
    <xf numFmtId="0" fontId="4" fillId="2" borderId="19" applyAlignment="1" pivotButton="0" quotePrefix="0" xfId="0">
      <alignment horizontal="center" vertical="center"/>
    </xf>
    <xf numFmtId="0" fontId="4" fillId="2" borderId="21" applyAlignment="1" pivotButton="0" quotePrefix="0" xfId="0">
      <alignment horizontal="center" vertical="center"/>
    </xf>
    <xf numFmtId="164" fontId="4" fillId="2" borderId="21" applyAlignment="1" pivotButton="0" quotePrefix="0" xfId="0">
      <alignment horizontal="center" vertical="center"/>
    </xf>
    <xf numFmtId="0" fontId="0" fillId="0" borderId="5" pivotButton="0" quotePrefix="0" xfId="0"/>
    <xf numFmtId="0" fontId="0" fillId="0" borderId="6" pivotButton="0" quotePrefix="0" xfId="0"/>
    <xf numFmtId="0" fontId="4" fillId="2" borderId="24" applyAlignment="1" pivotButton="0" quotePrefix="0" xfId="0">
      <alignment horizontal="center" vertical="center"/>
    </xf>
    <xf numFmtId="0" fontId="4" fillId="2" borderId="26" applyAlignment="1" pivotButton="0" quotePrefix="0" xfId="0">
      <alignment horizontal="center" vertical="center"/>
    </xf>
    <xf numFmtId="0" fontId="0" fillId="0" borderId="9" pivotButton="0" quotePrefix="0" xfId="0"/>
    <xf numFmtId="0" fontId="0" fillId="0" borderId="10" pivotButton="0" quotePrefix="0" xfId="0"/>
    <xf numFmtId="0" fontId="0" fillId="0" borderId="25" pivotButton="0" quotePrefix="0" xfId="0"/>
    <xf numFmtId="0" fontId="0" fillId="0" borderId="14" pivotButton="0" quotePrefix="0" xfId="0"/>
    <xf numFmtId="3" fontId="2" fillId="0" borderId="27" applyAlignment="1" pivotButton="0" quotePrefix="0" xfId="0">
      <alignment horizontal="right" vertical="center"/>
    </xf>
    <xf numFmtId="14" fontId="5" fillId="0" borderId="27" applyAlignment="1" pivotButton="0" quotePrefix="0" xfId="0">
      <alignment horizontal="center" vertical="center"/>
    </xf>
    <xf numFmtId="165" fontId="2" fillId="0" borderId="27" applyAlignment="1" pivotButton="0" quotePrefix="0" xfId="0">
      <alignment horizontal="left" vertical="center"/>
    </xf>
    <xf numFmtId="0" fontId="6" fillId="0" borderId="0" applyAlignment="1" pivotButton="0" quotePrefix="0" xfId="0">
      <alignment horizontal="center" vertical="center"/>
    </xf>
    <xf numFmtId="3" fontId="6" fillId="0" borderId="28" pivotButton="0" quotePrefix="0" xfId="0"/>
    <xf numFmtId="0" fontId="7" fillId="3" borderId="0" applyAlignment="1" pivotButton="0" quotePrefix="0" xfId="0">
      <alignment horizontal="center" vertical="center"/>
    </xf>
    <xf numFmtId="0" fontId="8" fillId="3" borderId="0" applyAlignment="1" pivotButton="0" quotePrefix="0" xfId="0">
      <alignment horizontal="center" vertical="center"/>
    </xf>
    <xf numFmtId="0" fontId="9" fillId="4" borderId="29" applyAlignment="1" pivotButton="0" quotePrefix="0" xfId="0">
      <alignment horizontal="center" vertical="center"/>
    </xf>
    <xf numFmtId="0" fontId="0" fillId="0" borderId="29" pivotButton="0" quotePrefix="0" xfId="0"/>
    <xf numFmtId="0" fontId="10" fillId="4" borderId="29" applyAlignment="1" pivotButton="0" quotePrefix="0" xfId="0">
      <alignment horizontal="center" vertical="center"/>
    </xf>
    <xf numFmtId="0" fontId="11" fillId="0" borderId="0" pivotButton="0" quotePrefix="0" xfId="0"/>
    <xf numFmtId="0" fontId="12" fillId="5" borderId="29" applyAlignment="1" pivotButton="0" quotePrefix="0" xfId="0">
      <alignment horizontal="center" vertical="center"/>
    </xf>
    <xf numFmtId="0" fontId="0" fillId="0" borderId="29" applyAlignment="1" pivotButton="0" quotePrefix="0" xfId="0">
      <alignment horizontal="center"/>
    </xf>
    <xf numFmtId="0" fontId="13" fillId="0" borderId="0" pivotButton="0" quotePrefix="0" xfId="0"/>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52"/>
  <sheetViews>
    <sheetView showGridLines="1" workbookViewId="0">
      <selection activeCell="A1" sqref="A1"/>
    </sheetView>
  </sheetViews>
  <sheetFormatPr baseColWidth="8" defaultRowHeight="15"/>
  <cols>
    <col width="4" customWidth="1" style="31" min="1" max="1"/>
    <col width="25" customWidth="1" style="31" min="2" max="2"/>
    <col width="15" customWidth="1" style="31" min="3" max="3"/>
    <col width="20" customWidth="1" style="31" min="4" max="4"/>
    <col width="20" customWidth="1" style="31" min="5" max="5"/>
    <col width="22" customWidth="1" style="31" min="6" max="6"/>
    <col width="22" customWidth="1" style="31" min="7" max="7"/>
    <col width="15" customWidth="1" style="31" min="8" max="8"/>
  </cols>
  <sheetData>
    <row r="1" ht="32" customHeight="1" s="31">
      <c r="A1" s="49" t="inlineStr">
        <is>
          <t>SOUTHCITY FINANCE &amp; IT AUTOMATION — ADVANCE SETTLEMENT DASHBOARD</t>
        </is>
      </c>
    </row>
    <row r="2" ht="20" customHeight="1" s="31">
      <c r="A2" s="50" t="inlineStr">
        <is>
          <t>Executive Reconciliation Report | Periode: April 2026 | Total Settlement Rate: 81.22%</t>
        </is>
      </c>
    </row>
    <row r="3" ht="10" customHeight="1" s="31"/>
    <row r="4">
      <c r="B4" s="51" t="inlineStr">
        <is>
          <t>TOTAL ADVANCE</t>
        </is>
      </c>
      <c r="C4" s="52" t="n"/>
      <c r="D4" s="51" t="inlineStr">
        <is>
          <t>TOTAL REALISASI</t>
        </is>
      </c>
      <c r="E4" s="52" t="n"/>
      <c r="F4" s="51" t="inlineStr">
        <is>
          <t>SISA SALDO (OUTSTANDING)</t>
        </is>
      </c>
      <c r="G4" s="52" t="n"/>
    </row>
    <row r="5">
      <c r="B5" s="53" t="inlineStr">
        <is>
          <t>Rp 570,406,879</t>
        </is>
      </c>
      <c r="C5" s="52" t="n"/>
      <c r="D5" s="53" t="inlineStr">
        <is>
          <t>Rp 463,302,663</t>
        </is>
      </c>
      <c r="E5" s="52" t="n"/>
      <c r="F5" s="53" t="inlineStr">
        <is>
          <t>Rp 107,104,216</t>
        </is>
      </c>
      <c r="G5" s="52" t="n"/>
    </row>
    <row r="7">
      <c r="B7" s="54" t="inlineStr">
        <is>
          <t>RINGKASAN STATUS TRANSAKSI</t>
        </is>
      </c>
    </row>
    <row r="8">
      <c r="B8" s="55" t="inlineStr">
        <is>
          <t>Status</t>
        </is>
      </c>
      <c r="C8" s="55" t="inlineStr">
        <is>
          <t>Jumlah Item</t>
        </is>
      </c>
      <c r="D8" s="55" t="inlineStr">
        <is>
          <t>Keterangan</t>
        </is>
      </c>
    </row>
    <row r="9">
      <c r="B9" s="52" t="inlineStr">
        <is>
          <t>Fully Settled (Lunas)</t>
        </is>
      </c>
      <c r="C9" s="56" t="n">
        <v>14</v>
      </c>
      <c r="D9" s="52" t="inlineStr">
        <is>
          <t>100% Selesai &amp; Cocok dengan GL</t>
        </is>
      </c>
    </row>
    <row r="10">
      <c r="B10" s="52" t="inlineStr">
        <is>
          <t>Partially Settled (Sebagian)</t>
        </is>
      </c>
      <c r="C10" s="56" t="n">
        <v>1</v>
      </c>
      <c r="D10" s="52" t="inlineStr">
        <is>
          <t>PBB JV 2 Summarecon (Sisa Rp 107.1M)</t>
        </is>
      </c>
    </row>
    <row r="11">
      <c r="B11" s="52" t="inlineStr">
        <is>
          <t>Unsettled (Belum Selesai)</t>
        </is>
      </c>
      <c r="C11" s="56" t="n">
        <v>0</v>
      </c>
      <c r="D11" s="52" t="inlineStr">
        <is>
          <t>Tidak ada transaksi tanpa matching</t>
        </is>
      </c>
    </row>
    <row r="13">
      <c r="B13" s="54" t="inlineStr">
        <is>
          <t>EXECUTIVE SUMMARY (AI GENERATED)</t>
        </is>
      </c>
    </row>
    <row r="15">
      <c r="B15" s="57" t="inlineStr">
        <is>
          <t>Tentu, berikut adalah Executive Summary profesional dan ringkas mengenai hasil rekonsiliasi Advance Settlement periode April 2026 untuk Direksi PT. Setiawan Dwi Tunggal (SouthCity).</t>
        </is>
      </c>
    </row>
    <row r="16">
      <c r="B16" s="57" t="inlineStr">
        <is>
          <t>---</t>
        </is>
      </c>
    </row>
    <row r="17">
      <c r="B17" s="57" t="inlineStr">
        <is>
          <t>**EXECUTIVE SUMMARY**</t>
        </is>
      </c>
    </row>
    <row r="18">
      <c r="B18" s="57" t="inlineStr">
        <is>
          <t>**Rekonsiliasi Advance Settlement Periode April 2026**</t>
        </is>
      </c>
    </row>
    <row r="19">
      <c r="B19" s="57" t="inlineStr">
        <is>
          <t>**Kepada Yth. Direksi PT. Setiawan Dwi Tunggal (SouthCity)**</t>
        </is>
      </c>
    </row>
    <row r="20">
      <c r="B20" s="57" t="inlineStr">
        <is>
          <t>**Dari:** Senior Finance &amp; Automation Controller</t>
        </is>
      </c>
    </row>
    <row r="21">
      <c r="B21" s="57" t="inlineStr">
        <is>
          <t>**Tanggal:** 02 Mei 2026</t>
        </is>
      </c>
    </row>
    <row r="22">
      <c r="B22" s="57" t="inlineStr">
        <is>
          <t>Laporan ini menyajikan ringkasan hasil rekonsiliasi Advance Settlement untuk periode April 2026, mencakup kinerja penyelesaian, sorotan transaksi kunci, dan rekomendasi tindak lanjut.</t>
        </is>
      </c>
    </row>
    <row r="23">
      <c r="B23" s="57" t="inlineStr">
        <is>
          <t>---</t>
        </is>
      </c>
    </row>
    <row r="24">
      <c r="B24" s="58" t="inlineStr">
        <is>
          <t>### 1. Ringkasan Eksekutif &amp; Kinerja Settlement</t>
        </is>
      </c>
    </row>
    <row r="25">
      <c r="B25" s="57" t="inlineStr">
        <is>
          <t>Rekonsiliasi Advance Settlement untuk periode April 2026 telah selesai dilaksanakan. Secara keseluruhan, kinerja penyelesaian uang muka menunjukkan efisiensi yang baik dengan rasio penyelesaian yang tinggi.</t>
        </is>
      </c>
    </row>
    <row r="26">
      <c r="B26" s="57" t="inlineStr">
        <is>
          <t>*   **Total Nilai Uang Muka (Advance) Awal:** Rp 570.406.879 (dari 15 transaksi)</t>
        </is>
      </c>
    </row>
    <row r="27">
      <c r="B27" s="57" t="inlineStr">
        <is>
          <t>*   **Total Realisasi / Settlement Masuk:** Rp 463.302.663</t>
        </is>
      </c>
    </row>
    <row r="28">
      <c r="B28" s="57" t="inlineStr">
        <is>
          <t>*   **Total Sisa Saldo Outstanding:** Rp 107.104.216</t>
        </is>
      </c>
    </row>
    <row r="29">
      <c r="B29" s="57" t="inlineStr">
        <is>
          <t>*   **Rasio Penyelesaian (Settlement Rate):** 81,22%</t>
        </is>
      </c>
    </row>
    <row r="30">
      <c r="B30" s="57" t="inlineStr">
        <is>
          <t>*   **Jumlah Transaksi Selesai (Fully Settled):** 14 dari 15 transaksi</t>
        </is>
      </c>
    </row>
    <row r="31">
      <c r="B31" s="57" t="inlineStr">
        <is>
          <t>Tingkat penyelesaian sebesar 81,22% dan 14 dari 15 transaksi telah diselesaikan penuh menunjukkan pengelolaan advance yang efektif, dengan hanya satu transaksi yang masih memiliki saldo terbuka.</t>
        </is>
      </c>
    </row>
    <row r="32">
      <c r="B32" s="58" t="inlineStr">
        <is>
          <t>### 2. Sorotan Transaksi Kritis &amp; Item Unsettled</t>
        </is>
      </c>
    </row>
    <row r="33">
      <c r="B33" s="57" t="inlineStr">
        <is>
          <t>Satu-satunya transaksi yang masih memiliki sisa saldo terbuka dan menjadi fokus utama adalah:</t>
        </is>
      </c>
    </row>
    <row r="34">
      <c r="B34" s="57" t="inlineStr">
        <is>
          <t>*   **Nama Transaksi:** PEMBAYARAN PBB JV 2 SUMMARECON TAHUN 2026</t>
        </is>
      </c>
    </row>
    <row r="35">
      <c r="B35" s="57" t="inlineStr">
        <is>
          <t>*   **Voucher Pengajuan Advance:** PMT2/BK/2602/0092</t>
        </is>
      </c>
    </row>
    <row r="36">
      <c r="B36" s="57" t="inlineStr">
        <is>
          <t>*   **Nilai Advance Awal:** Rp 422.974.179</t>
        </is>
      </c>
    </row>
    <row r="37">
      <c r="B37" s="57" t="inlineStr">
        <is>
          <t>*   **Realisasi Diterima (Parsial):** Rp 315.869.963 (melalui voucher BCA1/BM/2604/0069 - Penerimaan Pembayaran PBB MSCM AJB JV 2)</t>
        </is>
      </c>
    </row>
    <row r="38">
      <c r="B38" s="57" t="inlineStr">
        <is>
          <t>*   **Sisa Saldo Terbuka:** Rp 107.104.216</t>
        </is>
      </c>
    </row>
    <row r="39">
      <c r="B39" s="57" t="inlineStr">
        <is>
          <t>Sisa saldo ini merupakan hasil dari pelunasan parsial atas pembayaran PBB JV 2 Summarecon, di mana sebagian dana telah diterima kembali, namun masih terdapat selisih yang belum terselesaikan.</t>
        </is>
      </c>
    </row>
    <row r="40">
      <c r="B40" s="58" t="inlineStr">
        <is>
          <t>### 3. Penyelesaian Multi-Voucher Sukses</t>
        </is>
      </c>
    </row>
    <row r="41">
      <c r="B41" s="57" t="inlineStr">
        <is>
          <t>Kami juga ingin menyoroti keberhasilan penyelesaian 100% atas transaksi **Multi-Voucher Styling Apartemen (2BR &amp; Studio)**. Rekonsiliasi untuk transaksi ini, yang melibatkan kombinasi belanja vendor dan retur pengembalian kelebihan dana kas, telah diselesaikan secara akurat dan komprehensif. Hal ini menunjukkan kemampuan tim dalam menangani transaksi yang kompleks dengan berbagai sumber penyelesaian.</t>
        </is>
      </c>
    </row>
    <row r="42">
      <c r="B42" s="58" t="inlineStr">
        <is>
          <t>### 4. Rekomendasi Tindak Lanjut (Action Plan)</t>
        </is>
      </c>
    </row>
    <row r="43">
      <c r="B43" s="57" t="inlineStr">
        <is>
          <t>Berdasarkan hasil rekonsiliasi ini, kami merekomendasikan langkah-langkah berikut:</t>
        </is>
      </c>
    </row>
    <row r="44">
      <c r="B44" s="57" t="inlineStr">
        <is>
          <t>1.  **Tindak Lanjut Saldo PBB JV 2 Summarecon:** Segera lakukan koordinasi dan tindak lanjut dengan departemen terkait atau mitra JV untuk mengklarifikasi dan menyelesaikan sisa saldo Rp 107.104.216 dari transaksi PBB JV 2 Summarecon. Target penyelesaian diharapkan dalam 2 minggu ke depan.</t>
        </is>
      </c>
    </row>
    <row r="45">
      <c r="B45" s="57" t="inlineStr">
        <is>
          <t>2.  **Analisis Akar Masalah (Opsional):** Identifikasi penyebab sisa saldo PBB JV 2 Summarecon untuk mencegah kejadian serupa di masa mendatang, jika memungkinkan, atau untuk memastikan proses settlement di masa depan lebih efisien.</t>
        </is>
      </c>
    </row>
    <row r="46">
      <c r="B46" s="57" t="inlineStr">
        <is>
          <t>3.  **Pemantauan Berkelanjutan:** Terus tingkatkan pemantauan dan percepatan proses settlement untuk menjaga rasio penyelesaian yang tinggi dan meminimalkan saldo outstanding secara proaktif.</t>
        </is>
      </c>
    </row>
    <row r="47">
      <c r="B47" s="57" t="inlineStr">
        <is>
          <t>---</t>
        </is>
      </c>
    </row>
    <row r="48">
      <c r="B48" s="57" t="inlineStr">
        <is>
          <t>Demikian Executive Summary ini kami sampaikan untuk menjadi perhatian dan tindak lanjut Direksi.</t>
        </is>
      </c>
    </row>
    <row r="49">
      <c r="B49" s="57" t="inlineStr">
        <is>
          <t>Hormat kami,</t>
        </is>
      </c>
    </row>
    <row r="50">
      <c r="B50" s="57" t="inlineStr">
        <is>
          <t>**[Nama Anda]**</t>
        </is>
      </c>
    </row>
    <row r="51">
      <c r="B51" s="57" t="inlineStr">
        <is>
          <t>Senior Finance &amp; Automation Controller</t>
        </is>
      </c>
    </row>
    <row r="52">
      <c r="B52" s="57" t="inlineStr">
        <is>
          <t>PT. Setiawan Dwi Tunggal (SouthCity)</t>
        </is>
      </c>
    </row>
  </sheetData>
  <mergeCells count="48">
    <mergeCell ref="F4:G4"/>
    <mergeCell ref="B40:H40"/>
    <mergeCell ref="B49:H49"/>
    <mergeCell ref="B24:H24"/>
    <mergeCell ref="B30:H30"/>
    <mergeCell ref="B15:H15"/>
    <mergeCell ref="B33:H33"/>
    <mergeCell ref="A1:H1"/>
    <mergeCell ref="B51:H51"/>
    <mergeCell ref="B20:H20"/>
    <mergeCell ref="B37:H37"/>
    <mergeCell ref="B45:H45"/>
    <mergeCell ref="B36:H36"/>
    <mergeCell ref="B32:H32"/>
    <mergeCell ref="B50:H50"/>
    <mergeCell ref="B26:H26"/>
    <mergeCell ref="B41:H41"/>
    <mergeCell ref="B35:H35"/>
    <mergeCell ref="F5:G5"/>
    <mergeCell ref="B47:H47"/>
    <mergeCell ref="B16:H16"/>
    <mergeCell ref="B25:H25"/>
    <mergeCell ref="B31:H31"/>
    <mergeCell ref="B46:H46"/>
    <mergeCell ref="B22:H22"/>
    <mergeCell ref="B18:H18"/>
    <mergeCell ref="B27:H27"/>
    <mergeCell ref="B52:H52"/>
    <mergeCell ref="B21:H21"/>
    <mergeCell ref="A2:H2"/>
    <mergeCell ref="B43:H43"/>
    <mergeCell ref="B39:H39"/>
    <mergeCell ref="B48:H48"/>
    <mergeCell ref="D4:E4"/>
    <mergeCell ref="B42:H42"/>
    <mergeCell ref="B7:D7"/>
    <mergeCell ref="B23:H23"/>
    <mergeCell ref="B17:H17"/>
    <mergeCell ref="B13:H13"/>
    <mergeCell ref="B5:C5"/>
    <mergeCell ref="B44:H44"/>
    <mergeCell ref="D5:E5"/>
    <mergeCell ref="B38:H38"/>
    <mergeCell ref="B29:H29"/>
    <mergeCell ref="B19:H19"/>
    <mergeCell ref="B34:H34"/>
    <mergeCell ref="B4:C4"/>
    <mergeCell ref="B28:H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ColWidth="14.43" defaultRowHeight="15" customHeight="1"/>
  <cols>
    <col width="35" customWidth="1" style="31" min="1" max="1"/>
    <col width="20" customWidth="1" style="31" min="2" max="2"/>
    <col width="101" customWidth="1" style="31" min="3" max="3"/>
    <col width="15" customWidth="1" style="31" min="4" max="4"/>
    <col width="14" customWidth="1" style="31" min="5" max="5"/>
    <col width="146" customWidth="1" style="31" min="6" max="6"/>
    <col width="15" customWidth="1" style="31" min="7" max="8"/>
    <col width="15" customWidth="1" style="31" min="8" max="8"/>
    <col width="14" customWidth="1" style="31" min="9" max="9"/>
    <col width="8.710000000000001" customWidth="1" style="31" min="10" max="26"/>
  </cols>
  <sheetData>
    <row r="1">
      <c r="A1" s="1" t="inlineStr">
        <is>
          <t>PT. SETIAWAN DWI TUNGGAL</t>
        </is>
      </c>
      <c r="B1" s="2" t="n"/>
      <c r="C1" s="2" t="n"/>
      <c r="D1" s="3" t="n"/>
      <c r="E1" s="4" t="n"/>
      <c r="F1" s="4" t="n"/>
      <c r="G1" s="5" t="n"/>
      <c r="H1" s="2" t="n"/>
      <c r="I1" s="2" t="n"/>
    </row>
    <row r="2">
      <c r="A2" s="1" t="inlineStr">
        <is>
          <t>Uang Muka Pihak Ketiga Lainnya</t>
        </is>
      </c>
      <c r="B2" s="2" t="n"/>
      <c r="C2" s="2" t="n"/>
      <c r="D2" s="3" t="n"/>
      <c r="E2" s="4" t="n"/>
      <c r="F2" s="4" t="n"/>
      <c r="G2" s="5" t="n"/>
      <c r="H2" s="2" t="n"/>
      <c r="I2" s="2" t="n"/>
    </row>
    <row r="3">
      <c r="A3" s="1">
        <f>#REF!</f>
        <v/>
      </c>
      <c r="B3" s="2" t="n"/>
      <c r="C3" s="2" t="n"/>
      <c r="D3" s="3" t="n"/>
      <c r="E3" s="4" t="n"/>
      <c r="F3" s="4" t="n"/>
      <c r="G3" s="5" t="n"/>
      <c r="H3" s="2" t="n"/>
      <c r="I3" s="2" t="n"/>
    </row>
    <row r="4">
      <c r="A4" s="1" t="inlineStr">
        <is>
          <t>110.040.040.000 Advances - Other</t>
        </is>
      </c>
      <c r="B4" s="2" t="n"/>
      <c r="C4" s="2" t="n"/>
      <c r="D4" s="3" t="n"/>
      <c r="E4" s="2" t="n"/>
      <c r="F4" s="2" t="n"/>
    </row>
    <row r="5">
      <c r="A5" s="2" t="n"/>
      <c r="B5" s="2" t="n"/>
      <c r="C5" s="2" t="n"/>
      <c r="D5" s="3" t="n"/>
      <c r="E5" s="6" t="n"/>
      <c r="F5" s="32" t="n"/>
      <c r="G5" s="32" t="n"/>
      <c r="H5" s="2" t="n"/>
      <c r="I5" s="2" t="n"/>
    </row>
    <row r="6">
      <c r="A6" s="33" t="inlineStr">
        <is>
          <t>Date</t>
        </is>
      </c>
      <c r="B6" s="34" t="inlineStr">
        <is>
          <t>Voucher No</t>
        </is>
      </c>
      <c r="C6" s="34" t="inlineStr">
        <is>
          <t>Description</t>
        </is>
      </c>
      <c r="D6" s="35" t="inlineStr">
        <is>
          <t>Amount</t>
        </is>
      </c>
      <c r="E6" s="34" t="inlineStr">
        <is>
          <t>Realization</t>
        </is>
      </c>
      <c r="F6" s="36" t="n"/>
      <c r="G6" s="37" t="n"/>
      <c r="H6" s="38" t="inlineStr">
        <is>
          <t>Saldo</t>
        </is>
      </c>
      <c r="I6" s="39" t="inlineStr">
        <is>
          <t>Description</t>
        </is>
      </c>
    </row>
    <row r="7">
      <c r="A7" s="40" t="n"/>
      <c r="B7" s="41" t="n"/>
      <c r="C7" s="41" t="n"/>
      <c r="D7" s="41" t="n"/>
      <c r="E7" s="18" t="inlineStr">
        <is>
          <t>Date</t>
        </is>
      </c>
      <c r="F7" s="19" t="inlineStr">
        <is>
          <t>No. Voucher</t>
        </is>
      </c>
      <c r="G7" s="20" t="inlineStr">
        <is>
          <t>Amount</t>
        </is>
      </c>
      <c r="H7" s="42" t="n"/>
      <c r="I7" s="43" t="n"/>
    </row>
    <row r="8">
      <c r="A8" s="23" t="n">
        <v>46044</v>
      </c>
      <c r="B8" s="24" t="inlineStr">
        <is>
          <t>PMT2/BK/2601/0062</t>
        </is>
      </c>
      <c r="C8" s="24" t="inlineStr">
        <is>
          <t>TP01/PO/26010005 FURNITURE SHOW UNIT APARTEMEN THE PARC SM 1132 - BAR STOOL</t>
        </is>
      </c>
      <c r="D8" s="44" t="n">
        <v>2500000</v>
      </c>
      <c r="E8" s="45" t="inlineStr">
        <is>
          <t>2026-04-02</t>
        </is>
      </c>
      <c r="F8" s="46" t="inlineStr">
        <is>
          <t>ADV/BK/2604/0004</t>
        </is>
      </c>
      <c r="G8" s="44" t="n">
        <v>2500000</v>
      </c>
      <c r="H8" s="44">
        <f>D8-G8</f>
        <v/>
      </c>
      <c r="I8" s="30" t="n"/>
    </row>
    <row r="9">
      <c r="A9" s="23" t="n">
        <v>46044</v>
      </c>
      <c r="B9" s="24" t="inlineStr">
        <is>
          <t>PMT2/BK/2601/0064</t>
        </is>
      </c>
      <c r="C9" s="24" t="inlineStr">
        <is>
          <t>STYLING APARTEMEN THE PARC SM 1132 (2 BEDROOM)</t>
        </is>
      </c>
      <c r="D9" s="44" t="n">
        <v>25695900</v>
      </c>
      <c r="E9" s="45" t="inlineStr">
        <is>
          <t>2026-04-17</t>
        </is>
      </c>
      <c r="F9" s="46" t="inlineStr">
        <is>
          <t>ADV/BK/2604/0012, ADV/BK/2604/0013, ADV/BK/2604/0014, ADV/BK/2604/0015, ADV/BK/2604/0016, ADV/BK/2604/0017, ADV/BK/2604/0018, PMT2/BM/2604/0007</t>
        </is>
      </c>
      <c r="G9" s="44" t="n">
        <v>25695900</v>
      </c>
      <c r="H9" s="44">
        <f>D9-G9</f>
        <v/>
      </c>
      <c r="I9" s="30" t="n"/>
    </row>
    <row r="10">
      <c r="A10" s="23" t="n">
        <v>46044</v>
      </c>
      <c r="B10" s="24" t="inlineStr">
        <is>
          <t>PMT2/BK/2601/0065</t>
        </is>
      </c>
      <c r="C10" s="24" t="inlineStr">
        <is>
          <t>STYLING APARTEMEN THE PARC SM 1127 (STUDIO)</t>
        </is>
      </c>
      <c r="D10" s="44" t="n">
        <v>1583700</v>
      </c>
      <c r="E10" s="45" t="inlineStr">
        <is>
          <t>2026-04-17</t>
        </is>
      </c>
      <c r="F10" s="46" t="inlineStr">
        <is>
          <t>ADV/BK/2604/0019, ADV/BK/2604/0020, PMT2/BM/2604/0008</t>
        </is>
      </c>
      <c r="G10" s="44" t="n">
        <v>1583700</v>
      </c>
      <c r="H10" s="44">
        <f>D10-G10</f>
        <v/>
      </c>
      <c r="I10" s="30" t="n"/>
    </row>
    <row r="11">
      <c r="A11" s="23" t="n">
        <v>46044</v>
      </c>
      <c r="B11" s="24" t="inlineStr">
        <is>
          <t>PMT2/BK/2601/0068</t>
        </is>
      </c>
      <c r="C11" s="24" t="inlineStr">
        <is>
          <t>PAKET MEETING DI KIRANA RESTO &amp; CAFÉ</t>
        </is>
      </c>
      <c r="D11" s="44" t="n">
        <v>1750000</v>
      </c>
      <c r="E11" s="45" t="inlineStr">
        <is>
          <t>2026-04-02</t>
        </is>
      </c>
      <c r="F11" s="46" t="inlineStr">
        <is>
          <t>ADV/BK/2604/0005</t>
        </is>
      </c>
      <c r="G11" s="44" t="n">
        <v>1750000</v>
      </c>
      <c r="H11" s="44">
        <f>D11-G11</f>
        <v/>
      </c>
      <c r="I11" s="30" t="n"/>
    </row>
    <row r="12">
      <c r="A12" s="23" t="n">
        <v>46058</v>
      </c>
      <c r="B12" s="24" t="inlineStr">
        <is>
          <t>PMT2/BK/2602/0003</t>
        </is>
      </c>
      <c r="C12" s="24" t="inlineStr">
        <is>
          <t>TALENTA - BUSSINES FLAT FOR 4 MONTHS (TERM-3) PERIODE 15 FEBRUARI 2026 - 14 JUNI 2026</t>
        </is>
      </c>
      <c r="D12" s="44" t="n">
        <v>10355000</v>
      </c>
      <c r="E12" s="45" t="inlineStr">
        <is>
          <t>2026-04-17</t>
        </is>
      </c>
      <c r="F12" s="46" t="inlineStr">
        <is>
          <t>ADV/BK/2604/0008</t>
        </is>
      </c>
      <c r="G12" s="44" t="n">
        <v>10355000</v>
      </c>
      <c r="H12" s="44">
        <f>D12-G12</f>
        <v/>
      </c>
      <c r="I12" s="30" t="n"/>
    </row>
    <row r="13">
      <c r="A13" s="23" t="n">
        <v>46058</v>
      </c>
      <c r="B13" s="24" t="inlineStr">
        <is>
          <t>PMT2/BK/2602/0005</t>
        </is>
      </c>
      <c r="C13" s="24" t="inlineStr">
        <is>
          <t>FR01/PO/26010011 PENULIS WIKIPEDIA INDONESIA</t>
        </is>
      </c>
      <c r="D13" s="44" t="n">
        <v>304000</v>
      </c>
      <c r="E13" s="45" t="inlineStr">
        <is>
          <t>2026-04-09</t>
        </is>
      </c>
      <c r="F13" s="46" t="inlineStr">
        <is>
          <t>ADV/BK/2604/0007</t>
        </is>
      </c>
      <c r="G13" s="44" t="n">
        <v>304000</v>
      </c>
      <c r="H13" s="44">
        <f>D13-G13</f>
        <v/>
      </c>
      <c r="I13" s="30" t="n"/>
    </row>
    <row r="14">
      <c r="A14" s="23" t="n">
        <v>46065</v>
      </c>
      <c r="B14" s="24" t="inlineStr">
        <is>
          <t>PMT2/BK/2602/0071</t>
        </is>
      </c>
      <c r="C14" s="24" t="inlineStr">
        <is>
          <t>FR01/PO/26010007 EO PAMERAN DI THE PARK SAWANGAN 9-15 FEBRUARI 2026</t>
        </is>
      </c>
      <c r="D14" s="44" t="n">
        <v>25070000</v>
      </c>
      <c r="E14" s="45" t="inlineStr">
        <is>
          <t>2026-04-09</t>
        </is>
      </c>
      <c r="F14" s="46" t="inlineStr">
        <is>
          <t>ADV/BK/2604/0003</t>
        </is>
      </c>
      <c r="G14" s="44" t="n">
        <v>25070000</v>
      </c>
      <c r="H14" s="44">
        <f>D14-G14</f>
        <v/>
      </c>
      <c r="I14" s="30" t="n"/>
    </row>
    <row r="15">
      <c r="A15" s="23" t="n">
        <v>46078</v>
      </c>
      <c r="B15" s="24" t="inlineStr">
        <is>
          <t>PMT2/BK/2602/0092</t>
        </is>
      </c>
      <c r="C15" s="24" t="inlineStr">
        <is>
          <t>PEMBAYARAN PBB JV 2 SUMMARECON TAHUN 2026</t>
        </is>
      </c>
      <c r="D15" s="44" t="n">
        <v>422974179</v>
      </c>
      <c r="E15" s="45" t="inlineStr">
        <is>
          <t>2026-04-23</t>
        </is>
      </c>
      <c r="F15" s="46" t="inlineStr">
        <is>
          <t>BCA1/BM/2604/0069</t>
        </is>
      </c>
      <c r="G15" s="44" t="n">
        <v>315869963</v>
      </c>
      <c r="H15" s="44">
        <f>D15-G15</f>
        <v/>
      </c>
      <c r="I15" s="30" t="n"/>
    </row>
    <row r="16">
      <c r="A16" s="23" t="n">
        <v>46086</v>
      </c>
      <c r="B16" s="24" t="inlineStr">
        <is>
          <t>PMT2/BK/2603/0008</t>
        </is>
      </c>
      <c r="C16" s="24" t="inlineStr">
        <is>
          <t>HLJC/PO/26030003 BORDIR SERAGAM TENAGA KERJA HARIAN</t>
        </is>
      </c>
      <c r="D16" s="44" t="n">
        <v>2790000</v>
      </c>
      <c r="E16" s="45" t="inlineStr">
        <is>
          <t>2026-04-07</t>
        </is>
      </c>
      <c r="F16" s="46" t="inlineStr">
        <is>
          <t>ADV/BK/2604/0009</t>
        </is>
      </c>
      <c r="G16" s="44" t="n">
        <v>2790000</v>
      </c>
      <c r="H16" s="44">
        <f>D16-G16</f>
        <v/>
      </c>
      <c r="I16" s="30" t="n"/>
    </row>
    <row r="17">
      <c r="A17" s="23" t="n">
        <v>46086</v>
      </c>
      <c r="B17" s="24" t="inlineStr">
        <is>
          <t>PMT2/BK/2603/0009</t>
        </is>
      </c>
      <c r="C17" s="24" t="inlineStr">
        <is>
          <t>HLJC/PO/26030002 SERAGAM TENAGA KERJA HARIAN</t>
        </is>
      </c>
      <c r="D17" s="44" t="n">
        <v>3780000</v>
      </c>
      <c r="E17" s="45" t="inlineStr">
        <is>
          <t>2026-04-07</t>
        </is>
      </c>
      <c r="F17" s="46" t="inlineStr">
        <is>
          <t>ADV/BK/2604/0001</t>
        </is>
      </c>
      <c r="G17" s="44" t="n">
        <v>3780000</v>
      </c>
      <c r="H17" s="44">
        <f>D17-G17</f>
        <v/>
      </c>
      <c r="I17" s="30" t="n"/>
    </row>
    <row r="18">
      <c r="A18" s="23" t="n">
        <v>46086</v>
      </c>
      <c r="B18" s="24" t="inlineStr">
        <is>
          <t>PMT2/BK/2603/0016</t>
        </is>
      </c>
      <c r="C18" s="24" t="inlineStr">
        <is>
          <t>SEWA SPACE OPEN TABLE LOKASI KAMPUNG KECIL CINERE TGL 9-15 MARET 2026</t>
        </is>
      </c>
      <c r="D18" s="44" t="n">
        <v>4202100</v>
      </c>
      <c r="E18" s="45" t="inlineStr">
        <is>
          <t>2026-04-07</t>
        </is>
      </c>
      <c r="F18" s="46" t="inlineStr">
        <is>
          <t>ADV/BK/2604/0006</t>
        </is>
      </c>
      <c r="G18" s="44" t="n">
        <v>4202100</v>
      </c>
      <c r="H18" s="44">
        <f>D18-G18</f>
        <v/>
      </c>
      <c r="I18" s="30" t="n"/>
    </row>
    <row r="19">
      <c r="A19" s="23" t="n">
        <v>46086</v>
      </c>
      <c r="B19" s="24" t="inlineStr">
        <is>
          <t>PMT2/BK/2603/0019</t>
        </is>
      </c>
      <c r="C19" s="24" t="inlineStr">
        <is>
          <t>TP01/PO/26010003 FURNITURE SHOW UNIT APARTEMEN THE PARC SM 1132 - LEMARI KIDS ROOM - PELUNASAN 50%</t>
        </is>
      </c>
      <c r="D19" s="44" t="n">
        <v>3300000</v>
      </c>
      <c r="E19" s="45" t="inlineStr">
        <is>
          <t>2026-04-14</t>
        </is>
      </c>
      <c r="F19" s="46" t="inlineStr">
        <is>
          <t>ADV/BK/2604/0010</t>
        </is>
      </c>
      <c r="G19" s="44" t="n">
        <v>3300000</v>
      </c>
      <c r="H19" s="44">
        <f>D19-G19</f>
        <v/>
      </c>
      <c r="I19" s="30" t="n"/>
    </row>
    <row r="20">
      <c r="A20" s="23" t="n">
        <v>46093</v>
      </c>
      <c r="B20" s="24" t="inlineStr">
        <is>
          <t>PMT2/BK/2603/0039</t>
        </is>
      </c>
      <c r="C20" s="24" t="inlineStr">
        <is>
          <t>UM ACARA BUKA PUASA BERSAMA KARYAWAN SOUTHCITY 13 MARET 2026</t>
        </is>
      </c>
      <c r="D20" s="44" t="n">
        <v>3500000</v>
      </c>
      <c r="E20" s="45" t="inlineStr">
        <is>
          <t>2026-04-02</t>
        </is>
      </c>
      <c r="F20" s="46" t="inlineStr">
        <is>
          <t>PMT2/BK/2604/0006</t>
        </is>
      </c>
      <c r="G20" s="44" t="n">
        <v>3500000</v>
      </c>
      <c r="H20" s="44">
        <f>D20-G20</f>
        <v/>
      </c>
      <c r="I20" s="30" t="n"/>
    </row>
    <row r="21" ht="15.75" customHeight="1" s="31">
      <c r="A21" s="23" t="n">
        <v>46095</v>
      </c>
      <c r="B21" s="24" t="inlineStr">
        <is>
          <t>BCA2/BK/2603/0049</t>
        </is>
      </c>
      <c r="C21" s="24" t="inlineStr">
        <is>
          <t>ADVANCE PEMBAYARAN KARTU KREDIT BCA  UNTUK TAGIHAN DROPBOX PERIODE 11/3/2026 - 11/3/2027</t>
        </is>
      </c>
      <c r="D21" s="44" t="n">
        <v>60000000</v>
      </c>
      <c r="E21" s="45" t="inlineStr">
        <is>
          <t>2026-04-01</t>
        </is>
      </c>
      <c r="F21" s="46" t="inlineStr">
        <is>
          <t>BCA2/BK/2604/0026</t>
        </is>
      </c>
      <c r="G21" s="44" t="n">
        <v>60000000</v>
      </c>
      <c r="H21" s="44">
        <f>D21-G21</f>
        <v/>
      </c>
      <c r="I21" s="30" t="n"/>
    </row>
    <row r="22" ht="15.75" customHeight="1" s="31">
      <c r="A22" s="23" t="n">
        <v>46107</v>
      </c>
      <c r="B22" s="24" t="inlineStr">
        <is>
          <t>PMT2/BK/2603/0078</t>
        </is>
      </c>
      <c r="C22" s="24" t="inlineStr">
        <is>
          <t>UM COMPLIMENTARY SHOW UNIT THE PARC BULAN MARET 2026</t>
        </is>
      </c>
      <c r="D22" s="44" t="n">
        <v>2602000</v>
      </c>
      <c r="E22" s="45" t="inlineStr">
        <is>
          <t>2026-04-08</t>
        </is>
      </c>
      <c r="F22" s="46" t="inlineStr">
        <is>
          <t>PMT2/BM/2604/0006</t>
        </is>
      </c>
      <c r="G22" s="44" t="n">
        <v>2602000</v>
      </c>
      <c r="H22" s="44">
        <f>D22-G22</f>
        <v/>
      </c>
      <c r="I22" s="30" t="n"/>
    </row>
    <row r="23" ht="15.75" customHeight="1" s="31">
      <c r="C23" s="47" t="inlineStr">
        <is>
          <t>TOTAL</t>
        </is>
      </c>
      <c r="D23" s="48">
        <f>SUM(D8:D22)</f>
        <v/>
      </c>
      <c r="G23" s="48">
        <f>SUM(G8:G22)</f>
        <v/>
      </c>
      <c r="H23" s="48">
        <f>SUM(H8:H22)</f>
        <v/>
      </c>
    </row>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8">
    <mergeCell ref="E5:G5"/>
    <mergeCell ref="H6:H7"/>
    <mergeCell ref="I6:I7"/>
    <mergeCell ref="C6:C7"/>
    <mergeCell ref="A6:A7"/>
    <mergeCell ref="D6:D7"/>
    <mergeCell ref="B6:B7"/>
    <mergeCell ref="E6:G6"/>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ego pamungkas</dc:creator>
  <dcterms:created xsi:type="dcterms:W3CDTF">2026-10-01T07:21:33Z</dcterms:created>
  <dcterms:modified xsi:type="dcterms:W3CDTF">2026-10-04T15:56:39Z</dcterms:modified>
</cp:coreProperties>
</file>