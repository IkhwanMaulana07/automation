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Working_Paper_Result" sheetId="2" state="visible" r:id="rId2"/>
  </sheets>
  <definedNames/>
  <calcPr calcId="124519" fullCalcOnLoad="1"/>
</workbook>
</file>

<file path=xl/styles.xml><?xml version="1.0" encoding="utf-8"?>
<styleSheet xmlns="http://schemas.openxmlformats.org/spreadsheetml/2006/main">
  <numFmts count="2">
    <numFmt numFmtId="164" formatCode="_(* #,##0_);_(* \(#,##0\);_(* &quot;-&quot;??_);_(@_)"/>
    <numFmt numFmtId="165" formatCode="[$-409]d/mmm/yy"/>
  </numFmts>
  <fonts count="15">
    <font>
      <name val="Calibri"/>
      <color theme="1"/>
      <sz val="11"/>
      <scheme val="minor"/>
    </font>
    <font>
      <name val="Calibri"/>
      <b val="1"/>
      <color theme="1"/>
      <sz val="10"/>
    </font>
    <font>
      <name val="Calibri"/>
      <color theme="1"/>
      <sz val="10"/>
    </font>
    <font/>
    <font>
      <name val="Calibri"/>
      <b val="1"/>
      <color theme="0"/>
      <sz val="10"/>
    </font>
    <font>
      <name val="Calibri"/>
      <color theme="1"/>
      <sz val="11"/>
    </font>
    <font>
      <b val="1"/>
    </font>
    <font>
      <name val="Calibri"/>
      <b val="1"/>
      <color rgb="00FFFFFF"/>
      <sz val="16"/>
    </font>
    <font>
      <name val="Calibri"/>
      <color rgb="00E2E8F0"/>
      <sz val="11"/>
    </font>
    <font>
      <name val="Calibri"/>
      <b val="1"/>
      <color rgb="004A5568"/>
      <sz val="10"/>
    </font>
    <font>
      <name val="Calibri"/>
      <b val="1"/>
      <color rgb="001A202C"/>
      <sz val="16"/>
    </font>
    <font>
      <name val="Calibri"/>
      <b val="1"/>
      <color rgb="001A365D"/>
      <sz val="12"/>
    </font>
    <font>
      <name val="Calibri"/>
      <b val="1"/>
      <color rgb="00FFFFFF"/>
      <sz val="10"/>
    </font>
    <font>
      <name val="Calibri"/>
      <b val="1"/>
      <color rgb="001A365D"/>
      <sz val="11"/>
    </font>
    <font>
      <name val="Calibri"/>
      <color rgb="002D3748"/>
      <sz val="10"/>
    </font>
  </fonts>
  <fills count="7">
    <fill>
      <patternFill/>
    </fill>
    <fill>
      <patternFill patternType="lightGray"/>
    </fill>
    <fill>
      <patternFill patternType="solid">
        <fgColor rgb="FF44546A"/>
        <bgColor rgb="FF44546A"/>
      </patternFill>
    </fill>
    <fill>
      <patternFill patternType="solid">
        <fgColor rgb="001A365D"/>
        <bgColor rgb="001A365D"/>
      </patternFill>
    </fill>
    <fill>
      <patternFill patternType="solid">
        <fgColor rgb="00F7FAFC"/>
        <bgColor rgb="00F7FAFC"/>
      </patternFill>
    </fill>
    <fill>
      <patternFill patternType="solid">
        <fgColor rgb="002B6CB0"/>
        <bgColor rgb="002B6CB0"/>
      </patternFill>
    </fill>
    <fill>
      <patternFill patternType="solid">
        <fgColor rgb="00EDF2F7"/>
        <bgColor rgb="00EDF2F7"/>
      </patternFill>
    </fill>
  </fills>
  <borders count="34">
    <border/>
    <border>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top style="medium">
        <color rgb="FF000000"/>
      </top>
    </border>
    <border>
      <left style="thin">
        <color rgb="FF000000"/>
      </left>
      <right style="medium">
        <color rgb="FF000000"/>
      </right>
      <top style="medium">
        <color rgb="FF000000"/>
      </top>
    </border>
    <border>
      <left style="medium">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bottom style="thin">
        <color rgb="FF000000"/>
      </bottom>
    </border>
    <border>
      <left style="thin">
        <color rgb="FF000000"/>
      </left>
      <right style="medium">
        <color rgb="FF000000"/>
      </right>
      <bottom style="thin">
        <color rgb="FF000000"/>
      </bottom>
    </border>
    <border>
      <left style="medium">
        <color rgb="FF000000"/>
      </left>
      <right style="thin">
        <color rgb="FF000000"/>
      </right>
    </border>
    <border>
      <left style="thin">
        <color rgb="FF000000"/>
      </left>
      <right style="thin">
        <color rgb="FF000000"/>
      </right>
    </border>
    <border>
      <left style="thin">
        <color rgb="FF000000"/>
      </left>
    </border>
    <border>
      <left style="thin">
        <color rgb="FF000000"/>
      </left>
      <right style="medium">
        <color rgb="FF000000"/>
      </right>
    </border>
    <border>
      <left style="medium">
        <color rgb="FF000000"/>
      </left>
      <right style="thin">
        <color rgb="FF000000"/>
      </right>
      <top style="medium">
        <color rgb="FF000000"/>
      </top>
      <bottom style="thin">
        <color rgb="FF000000"/>
      </bottom>
    </border>
    <border>
      <left style="medium">
        <color rgb="FF000000"/>
      </left>
    </border>
    <border>
      <left style="thin">
        <color rgb="FF000000"/>
      </left>
      <right style="thin">
        <color rgb="FF000000"/>
      </right>
      <top style="medium">
        <color rgb="FF000000"/>
      </top>
      <bottom style="thin">
        <color rgb="FF000000"/>
      </bottom>
    </border>
    <border>
      <top style="medium">
        <color rgb="FF000000"/>
      </top>
    </border>
    <border>
      <right style="thin">
        <color rgb="FF000000"/>
      </right>
      <top style="medium">
        <color rgb="FF000000"/>
      </top>
    </border>
    <border>
      <left style="thin">
        <color rgb="FF000000"/>
      </left>
      <right/>
      <top style="medium">
        <color rgb="FF000000"/>
      </top>
      <bottom style="thin">
        <color rgb="FF000000"/>
      </bottom>
    </border>
    <border>
      <left style="thin">
        <color rgb="FF000000"/>
      </left>
      <bottom style="thin">
        <color rgb="FF000000"/>
      </bottom>
    </border>
    <border>
      <left style="thin">
        <color rgb="FF000000"/>
      </left>
      <right style="medium">
        <color rgb="FF000000"/>
      </right>
      <top style="medium">
        <color rgb="FF000000"/>
      </top>
      <bottom style="thin">
        <color rgb="FF000000"/>
      </bottom>
    </border>
    <border>
      <left style="thin">
        <color rgb="00D3D3D3"/>
      </left>
      <right style="thin">
        <color rgb="00D3D3D3"/>
      </right>
      <top style="thin">
        <color rgb="00D3D3D3"/>
      </top>
      <bottom style="thin">
        <color rgb="00D3D3D3"/>
      </bottom>
    </border>
    <border>
      <top style="thin"/>
      <bottom style="double"/>
    </border>
    <border>
      <left style="thin">
        <color rgb="00CBD5E0"/>
      </left>
      <right style="thin">
        <color rgb="00CBD5E0"/>
      </right>
      <top style="thin">
        <color rgb="00CBD5E0"/>
      </top>
      <bottom style="thin">
        <color rgb="00CBD5E0"/>
      </bottom>
    </border>
    <border>
      <top style="thin">
        <color rgb="00CBD5E0"/>
      </top>
    </border>
    <border>
      <right style="thin">
        <color rgb="00CBD5E0"/>
      </right>
      <top style="thin">
        <color rgb="00CBD5E0"/>
      </top>
    </border>
    <border>
      <right style="thin">
        <color rgb="00CBD5E0"/>
      </right>
      <top style="thin">
        <color rgb="00CBD5E0"/>
      </top>
      <bottom style="thin">
        <color rgb="00CBD5E0"/>
      </bottom>
    </border>
    <border>
      <top style="thin">
        <color rgb="00CBD5E0"/>
      </top>
      <bottom style="thin">
        <color rgb="00CBD5E0"/>
      </bottom>
    </border>
  </borders>
  <cellStyleXfs count="1">
    <xf numFmtId="0" fontId="0" fillId="0" borderId="0"/>
  </cellStyleXfs>
  <cellXfs count="64">
    <xf numFmtId="0" fontId="0" fillId="0" borderId="0" applyAlignment="1" pivotButton="0" quotePrefix="0" xfId="0">
      <alignment vertical="bottom"/>
    </xf>
    <xf numFmtId="0" fontId="1" fillId="0" borderId="0" pivotButton="0" quotePrefix="0" xfId="0"/>
    <xf numFmtId="0" fontId="2" fillId="0" borderId="0" pivotButton="0" quotePrefix="0" xfId="0"/>
    <xf numFmtId="164" fontId="2" fillId="0" borderId="0" applyAlignment="1" pivotButton="0" quotePrefix="0" xfId="0">
      <alignment horizontal="center"/>
    </xf>
    <xf numFmtId="165" fontId="2" fillId="0" borderId="0" pivotButton="0" quotePrefix="0" xfId="0"/>
    <xf numFmtId="164" fontId="2" fillId="0" borderId="0" pivotButton="0" quotePrefix="0" xfId="0"/>
    <xf numFmtId="165" fontId="2" fillId="0" borderId="1" applyAlignment="1" pivotButton="0" quotePrefix="0" xfId="0">
      <alignment horizontal="center"/>
    </xf>
    <xf numFmtId="0" fontId="3" fillId="0" borderId="1" pivotButton="0" quotePrefix="0" xfId="0"/>
    <xf numFmtId="0" fontId="4" fillId="2" borderId="2" applyAlignment="1" pivotButton="0" quotePrefix="0" xfId="0">
      <alignment horizontal="center" vertical="center"/>
    </xf>
    <xf numFmtId="0" fontId="4" fillId="2" borderId="3" applyAlignment="1" pivotButton="0" quotePrefix="0" xfId="0">
      <alignment horizontal="center" vertical="center"/>
    </xf>
    <xf numFmtId="164" fontId="4" fillId="2" borderId="3" applyAlignment="1" pivotButton="0" quotePrefix="0" xfId="0">
      <alignment horizontal="center" vertical="center"/>
    </xf>
    <xf numFmtId="0" fontId="4" fillId="2" borderId="4" applyAlignment="1" pivotButton="0" quotePrefix="0" xfId="0">
      <alignment horizontal="center" vertical="center"/>
    </xf>
    <xf numFmtId="0" fontId="3" fillId="0" borderId="5" pivotButton="0" quotePrefix="0" xfId="0"/>
    <xf numFmtId="0" fontId="3" fillId="0" borderId="6" pivotButton="0" quotePrefix="0" xfId="0"/>
    <xf numFmtId="0" fontId="4" fillId="2" borderId="7" applyAlignment="1" pivotButton="0" quotePrefix="0" xfId="0">
      <alignment horizontal="center" vertical="center"/>
    </xf>
    <xf numFmtId="0" fontId="4" fillId="2" borderId="8" applyAlignment="1" pivotButton="0" quotePrefix="0" xfId="0">
      <alignment horizontal="center" vertical="center"/>
    </xf>
    <xf numFmtId="0" fontId="3" fillId="0" borderId="9" pivotButton="0" quotePrefix="0" xfId="0"/>
    <xf numFmtId="0" fontId="3" fillId="0" borderId="10" pivotButton="0" quotePrefix="0" xfId="0"/>
    <xf numFmtId="165" fontId="4" fillId="2" borderId="11" applyAlignment="1" pivotButton="0" quotePrefix="0" xfId="0">
      <alignment horizontal="center"/>
    </xf>
    <xf numFmtId="165" fontId="4" fillId="2" borderId="12" applyAlignment="1" pivotButton="0" quotePrefix="0" xfId="0">
      <alignment horizontal="center"/>
    </xf>
    <xf numFmtId="164" fontId="4" fillId="2" borderId="12" applyAlignment="1" pivotButton="0" quotePrefix="0" xfId="0">
      <alignment horizontal="center"/>
    </xf>
    <xf numFmtId="0" fontId="3" fillId="0" borderId="13" pivotButton="0" quotePrefix="0" xfId="0"/>
    <xf numFmtId="0" fontId="3" fillId="0" borderId="14" pivotButton="0" quotePrefix="0" xfId="0"/>
    <xf numFmtId="14" fontId="2" fillId="0" borderId="15" pivotButton="0" quotePrefix="0" xfId="0"/>
    <xf numFmtId="0" fontId="2" fillId="0" borderId="16" pivotButton="0" quotePrefix="0" xfId="0"/>
    <xf numFmtId="164" fontId="2" fillId="0" borderId="16" applyAlignment="1" pivotButton="0" quotePrefix="0" xfId="0">
      <alignment horizontal="center"/>
    </xf>
    <xf numFmtId="14" fontId="5" fillId="0" borderId="0" applyAlignment="1" pivotButton="0" quotePrefix="0" xfId="0">
      <alignment vertical="top"/>
    </xf>
    <xf numFmtId="165" fontId="2" fillId="0" borderId="16" pivotButton="0" quotePrefix="0" xfId="0"/>
    <xf numFmtId="164" fontId="2" fillId="0" borderId="17" pivotButton="0" quotePrefix="0" xfId="0"/>
    <xf numFmtId="164" fontId="2" fillId="0" borderId="16" pivotButton="0" quotePrefix="0" xfId="0"/>
    <xf numFmtId="0" fontId="2" fillId="0" borderId="18" pivotButton="0" quotePrefix="0" xfId="0"/>
    <xf numFmtId="0" fontId="0" fillId="0" borderId="0" pivotButton="0" quotePrefix="0" xfId="0"/>
    <xf numFmtId="0" fontId="0" fillId="0" borderId="1" pivotButton="0" quotePrefix="0" xfId="0"/>
    <xf numFmtId="0" fontId="4" fillId="2" borderId="19" applyAlignment="1" pivotButton="0" quotePrefix="0" xfId="0">
      <alignment horizontal="center" vertical="center"/>
    </xf>
    <xf numFmtId="0" fontId="4" fillId="2" borderId="21" applyAlignment="1" pivotButton="0" quotePrefix="0" xfId="0">
      <alignment horizontal="center" vertical="center"/>
    </xf>
    <xf numFmtId="164" fontId="4" fillId="2" borderId="21" applyAlignment="1" pivotButton="0" quotePrefix="0" xfId="0">
      <alignment horizontal="center" vertical="center"/>
    </xf>
    <xf numFmtId="0" fontId="0" fillId="0" borderId="5" pivotButton="0" quotePrefix="0" xfId="0"/>
    <xf numFmtId="0" fontId="0" fillId="0" borderId="6" pivotButton="0" quotePrefix="0" xfId="0"/>
    <xf numFmtId="0" fontId="4" fillId="2" borderId="24" applyAlignment="1" pivotButton="0" quotePrefix="0" xfId="0">
      <alignment horizontal="center" vertical="center"/>
    </xf>
    <xf numFmtId="0" fontId="4" fillId="2" borderId="26" applyAlignment="1" pivotButton="0" quotePrefix="0" xfId="0">
      <alignment horizontal="center" vertical="center"/>
    </xf>
    <xf numFmtId="0" fontId="0" fillId="0" borderId="9" pivotButton="0" quotePrefix="0" xfId="0"/>
    <xf numFmtId="0" fontId="0" fillId="0" borderId="10" pivotButton="0" quotePrefix="0" xfId="0"/>
    <xf numFmtId="0" fontId="0" fillId="0" borderId="25" pivotButton="0" quotePrefix="0" xfId="0"/>
    <xf numFmtId="0" fontId="0" fillId="0" borderId="14" pivotButton="0" quotePrefix="0" xfId="0"/>
    <xf numFmtId="3" fontId="2" fillId="0" borderId="27" applyAlignment="1" pivotButton="0" quotePrefix="0" xfId="0">
      <alignment horizontal="right" vertical="center"/>
    </xf>
    <xf numFmtId="14" fontId="5" fillId="0" borderId="27" applyAlignment="1" pivotButton="0" quotePrefix="0" xfId="0">
      <alignment horizontal="center" vertical="center"/>
    </xf>
    <xf numFmtId="165" fontId="2" fillId="0" borderId="27" applyAlignment="1" pivotButton="0" quotePrefix="0" xfId="0">
      <alignment horizontal="left" vertical="center"/>
    </xf>
    <xf numFmtId="0" fontId="6" fillId="0" borderId="0" applyAlignment="1" pivotButton="0" quotePrefix="0" xfId="0">
      <alignment horizontal="center" vertical="center"/>
    </xf>
    <xf numFmtId="3" fontId="6" fillId="0" borderId="28" pivotButton="0" quotePrefix="0" xfId="0"/>
    <xf numFmtId="0" fontId="7" fillId="3" borderId="0" applyAlignment="1" pivotButton="0" quotePrefix="0" xfId="0">
      <alignment horizontal="center" vertical="center"/>
    </xf>
    <xf numFmtId="0" fontId="0" fillId="3" borderId="0" pivotButton="0" quotePrefix="0" xfId="0"/>
    <xf numFmtId="0" fontId="8" fillId="3" borderId="0" applyAlignment="1" pivotButton="0" quotePrefix="0" xfId="0">
      <alignment horizontal="center" vertical="center"/>
    </xf>
    <xf numFmtId="0" fontId="9" fillId="4" borderId="29" applyAlignment="1" pivotButton="0" quotePrefix="0" xfId="0">
      <alignment horizontal="center" vertical="center"/>
    </xf>
    <xf numFmtId="0" fontId="0" fillId="4" borderId="29" pivotButton="0" quotePrefix="0" xfId="0"/>
    <xf numFmtId="0" fontId="10" fillId="4" borderId="29" applyAlignment="1" pivotButton="0" quotePrefix="0" xfId="0">
      <alignment horizontal="center" vertical="center"/>
    </xf>
    <xf numFmtId="0" fontId="11" fillId="0" borderId="0" pivotButton="0" quotePrefix="0" xfId="0"/>
    <xf numFmtId="0" fontId="12" fillId="5" borderId="29" applyAlignment="1" pivotButton="0" quotePrefix="0" xfId="0">
      <alignment horizontal="center" vertical="center"/>
    </xf>
    <xf numFmtId="0" fontId="0" fillId="5" borderId="29" pivotButton="0" quotePrefix="0" xfId="0"/>
    <xf numFmtId="0" fontId="0" fillId="0" borderId="29" pivotButton="0" quotePrefix="0" xfId="0"/>
    <xf numFmtId="0" fontId="0" fillId="0" borderId="29" applyAlignment="1" pivotButton="0" quotePrefix="0" xfId="0">
      <alignment horizontal="center"/>
    </xf>
    <xf numFmtId="0" fontId="13" fillId="6" borderId="29" applyAlignment="1" pivotButton="0" quotePrefix="0" xfId="0">
      <alignment horizontal="left" vertical="center" indent="1"/>
    </xf>
    <xf numFmtId="0" fontId="0" fillId="6" borderId="29" pivotButton="0" quotePrefix="0" xfId="0"/>
    <xf numFmtId="0" fontId="14" fillId="0" borderId="0" applyAlignment="1" pivotButton="0" quotePrefix="0" xfId="0">
      <alignment horizontal="left" vertical="top" wrapText="1"/>
    </xf>
    <xf numFmtId="0" fontId="14" fillId="0" borderId="0" applyAlignment="1" pivotButton="0" quotePrefix="0" xfId="0">
      <alignment horizontal="left" vertical="top" wrapText="1" inden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42"/>
  <sheetViews>
    <sheetView showGridLines="1" workbookViewId="0">
      <selection activeCell="A1" sqref="A1"/>
    </sheetView>
  </sheetViews>
  <sheetFormatPr baseColWidth="8" defaultRowHeight="15"/>
  <cols>
    <col width="3" customWidth="1" style="31" min="1" max="1"/>
    <col width="18" customWidth="1" style="31" min="2" max="2"/>
    <col width="16" customWidth="1" style="31" min="3" max="3"/>
    <col width="14" customWidth="1" style="31" min="4" max="4"/>
    <col width="18" customWidth="1" style="31" min="5" max="5"/>
    <col width="16" customWidth="1" style="31" min="6" max="6"/>
    <col width="16" customWidth="1" style="31" min="7" max="7"/>
    <col width="16" customWidth="1" style="31" min="8" max="8"/>
    <col width="14" customWidth="1" style="31" min="9" max="9"/>
    <col width="14" customWidth="1" style="31" min="10" max="10"/>
    <col width="12" customWidth="1" style="31" min="11" max="11"/>
    <col width="12" customWidth="1" style="31" min="12" max="12"/>
  </cols>
  <sheetData>
    <row r="1" ht="36" customHeight="1" s="31">
      <c r="A1" s="49" t="inlineStr">
        <is>
          <t>SOUTHCITY FINANCE &amp; IT AUTOMATION — ADVANCE SETTLEMENT DASHBOARD</t>
        </is>
      </c>
      <c r="B1" s="50" t="n"/>
      <c r="C1" s="50" t="n"/>
      <c r="D1" s="50" t="n"/>
      <c r="E1" s="50" t="n"/>
      <c r="F1" s="50" t="n"/>
      <c r="G1" s="50" t="n"/>
      <c r="H1" s="50" t="n"/>
      <c r="I1" s="50" t="n"/>
      <c r="J1" s="50" t="n"/>
      <c r="K1" s="50" t="n"/>
      <c r="L1" s="50" t="n"/>
    </row>
    <row r="2" ht="22" customHeight="1" s="31">
      <c r="A2" s="51" t="inlineStr">
        <is>
          <t>Executive Reconciliation Report | Periode: April 2026 | Total Settlement Rate: 81.22%</t>
        </is>
      </c>
      <c r="B2" s="50" t="n"/>
      <c r="C2" s="50" t="n"/>
      <c r="D2" s="50" t="n"/>
      <c r="E2" s="50" t="n"/>
      <c r="F2" s="50" t="n"/>
      <c r="G2" s="50" t="n"/>
      <c r="H2" s="50" t="n"/>
      <c r="I2" s="50" t="n"/>
      <c r="J2" s="50" t="n"/>
      <c r="K2" s="50" t="n"/>
      <c r="L2" s="50" t="n"/>
    </row>
    <row r="3" ht="10" customHeight="1" s="31"/>
    <row r="4" ht="22" customHeight="1" s="31">
      <c r="B4" s="52" t="inlineStr">
        <is>
          <t>TOTAL ADVANCE</t>
        </is>
      </c>
      <c r="C4" s="53" t="n"/>
      <c r="D4" s="53" t="n"/>
      <c r="E4" s="52" t="inlineStr">
        <is>
          <t>TOTAL REALISASI</t>
        </is>
      </c>
      <c r="F4" s="53" t="n"/>
      <c r="G4" s="53" t="n"/>
      <c r="H4" s="52" t="inlineStr">
        <is>
          <t>SISA SALDO (OUTSTANDING)</t>
        </is>
      </c>
      <c r="I4" s="53" t="n"/>
      <c r="J4" s="53" t="n"/>
    </row>
    <row r="5" ht="30" customHeight="1" s="31">
      <c r="B5" s="54" t="inlineStr">
        <is>
          <t>Rp 570,406,879</t>
        </is>
      </c>
      <c r="C5" s="53" t="n"/>
      <c r="D5" s="53" t="n"/>
      <c r="E5" s="54" t="inlineStr">
        <is>
          <t>Rp 463,302,663</t>
        </is>
      </c>
      <c r="F5" s="53" t="n"/>
      <c r="G5" s="53" t="n"/>
      <c r="H5" s="54" t="inlineStr">
        <is>
          <t>Rp 107,104,216</t>
        </is>
      </c>
      <c r="I5" s="53" t="n"/>
      <c r="J5" s="53" t="n"/>
    </row>
    <row r="7">
      <c r="B7" s="55" t="inlineStr">
        <is>
          <t>RINGKASAN STATUS TRANSAKSI</t>
        </is>
      </c>
    </row>
    <row r="8">
      <c r="B8" s="56" t="inlineStr">
        <is>
          <t>Status</t>
        </is>
      </c>
      <c r="C8" s="57" t="n"/>
      <c r="D8" s="56" t="inlineStr">
        <is>
          <t>Jumlah Item</t>
        </is>
      </c>
      <c r="E8" s="56" t="inlineStr">
        <is>
          <t>Keterangan</t>
        </is>
      </c>
      <c r="F8" s="57" t="n"/>
      <c r="G8" s="57" t="n"/>
    </row>
    <row r="9">
      <c r="B9" s="58" t="inlineStr">
        <is>
          <t>Fully Settled (Lunas)</t>
        </is>
      </c>
      <c r="C9" s="58" t="n"/>
      <c r="D9" s="59" t="n">
        <v>14</v>
      </c>
      <c r="E9" s="58" t="inlineStr">
        <is>
          <t>100% Selesai &amp; Cocok dengan GL</t>
        </is>
      </c>
      <c r="F9" s="58" t="n"/>
      <c r="G9" s="58" t="n"/>
    </row>
    <row r="10">
      <c r="B10" s="58" t="inlineStr">
        <is>
          <t>Partially Settled (Sebagian)</t>
        </is>
      </c>
      <c r="C10" s="58" t="n"/>
      <c r="D10" s="59" t="n">
        <v>1</v>
      </c>
      <c r="E10" s="58" t="inlineStr">
        <is>
          <t>PBB JV 2 Summarecon (Sisa Rp 107.1M)</t>
        </is>
      </c>
      <c r="F10" s="58" t="n"/>
      <c r="G10" s="58" t="n"/>
    </row>
    <row r="11">
      <c r="B11" s="58" t="inlineStr">
        <is>
          <t>Unsettled (Belum Selesai)</t>
        </is>
      </c>
      <c r="C11" s="58" t="n"/>
      <c r="D11" s="59" t="n">
        <v>0</v>
      </c>
      <c r="E11" s="58" t="inlineStr">
        <is>
          <t>Tidak ada transaksi tanpa matching</t>
        </is>
      </c>
      <c r="F11" s="58" t="n"/>
      <c r="G11" s="58" t="n"/>
    </row>
    <row r="13">
      <c r="B13" s="55" t="inlineStr">
        <is>
          <t>EXECUTIVE SUMMARY (LAPORAN REKONSILIASI)</t>
        </is>
      </c>
    </row>
    <row r="15" ht="24" customHeight="1" s="31">
      <c r="B15" s="60" t="inlineStr">
        <is>
          <t>EXECUTIVE SUMMARY: REKONSILIASI ADVANCE SETTLEMENT</t>
        </is>
      </c>
      <c r="C15" s="61" t="n"/>
      <c r="D15" s="61" t="n"/>
      <c r="E15" s="61" t="n"/>
      <c r="F15" s="61" t="n"/>
      <c r="G15" s="61" t="n"/>
      <c r="H15" s="61" t="n"/>
      <c r="I15" s="61" t="n"/>
      <c r="J15" s="61" t="n"/>
      <c r="K15" s="61" t="n"/>
      <c r="L15" s="61" t="n"/>
    </row>
    <row r="16" ht="20" customHeight="1" s="31">
      <c r="B16" s="62" t="inlineStr">
        <is>
          <t>Periode: April 2026</t>
        </is>
      </c>
    </row>
    <row r="17" ht="20" customHeight="1" s="31">
      <c r="B17" s="62" t="inlineStr">
        <is>
          <t>Entitas: PT. Setiawan Dwi Tunggal (SouthCity)</t>
        </is>
      </c>
    </row>
    <row r="18" ht="20" customHeight="1" s="31">
      <c r="B18" s="62" t="inlineStr">
        <is>
          <t>Disusun oleh: Senior Finance &amp; Automation Controller</t>
        </is>
      </c>
    </row>
    <row r="19" ht="24" customHeight="1" s="31">
      <c r="B19" s="60" t="inlineStr">
        <is>
          <t>1. Ringkasan Eksekutif &amp; Kinerja Settlement</t>
        </is>
      </c>
      <c r="C19" s="61" t="n"/>
      <c r="D19" s="61" t="n"/>
      <c r="E19" s="61" t="n"/>
      <c r="F19" s="61" t="n"/>
      <c r="G19" s="61" t="n"/>
      <c r="H19" s="61" t="n"/>
      <c r="I19" s="61" t="n"/>
      <c r="J19" s="61" t="n"/>
      <c r="K19" s="61" t="n"/>
      <c r="L19" s="61" t="n"/>
    </row>
    <row r="20" ht="51" customHeight="1" s="31">
      <c r="B20" s="62" t="inlineStr">
        <is>
          <t>Proses rekonsiliasi Advance Settlement periode April 2026 telah diselesaikan dengan hasil yang sangat baik. Dari total 15 transaksi advance yang tercatat, sebanyak 14 transaksi telah berhasil diselesaikan (fully settled0, mencerminkan efisiensi operasional dan kepatuhan administratif yang tinggi di lini departemen terkait.</t>
        </is>
      </c>
    </row>
    <row r="21" ht="20" customHeight="1" s="31">
      <c r="B21" s="63" t="inlineStr">
        <is>
          <t>- Total Nilai Uang Muka (Advance) Awal: Rp 570,406,879 (15 Transaksi)</t>
        </is>
      </c>
    </row>
    <row r="22" ht="20" customHeight="1" s="31">
      <c r="B22" s="63" t="inlineStr">
        <is>
          <t>- Total Realisasi / Settlement Masuk: Rp 463,302,663</t>
        </is>
      </c>
    </row>
    <row r="23" ht="20" customHeight="1" s="31">
      <c r="B23" s="63" t="inlineStr">
        <is>
          <t>- Total Sisa Saldo Outstanding: Rp 107,104,216</t>
        </is>
      </c>
    </row>
    <row r="24" ht="20" customHeight="1" s="31">
      <c r="B24" s="63" t="inlineStr">
        <is>
          <t>- Rasio Penyelesaian (Settlement Rate): 81.22%</t>
        </is>
      </c>
    </row>
    <row r="25" ht="20" customHeight="1" s="31">
      <c r="B25" s="63" t="inlineStr">
        <is>
          <t>- Status Transaksi: 14 Selesai / 1 Berjalan (Partial)</t>
        </is>
      </c>
    </row>
    <row r="26" ht="24" customHeight="1" s="31">
      <c r="B26" s="60" t="inlineStr">
        <is>
          <t>2. Sorotan Transaksi Kritis &amp; Item Unsettled</t>
        </is>
      </c>
      <c r="C26" s="61" t="n"/>
      <c r="D26" s="61" t="n"/>
      <c r="E26" s="61" t="n"/>
      <c r="F26" s="61" t="n"/>
      <c r="G26" s="61" t="n"/>
      <c r="H26" s="61" t="n"/>
      <c r="I26" s="61" t="n"/>
      <c r="J26" s="61" t="n"/>
      <c r="K26" s="61" t="n"/>
      <c r="L26" s="61" t="n"/>
    </row>
    <row r="27" ht="34" customHeight="1" s="31">
      <c r="B27" s="62" t="inlineStr">
        <is>
          <t>Meskipun mayoritas transaksi telah ditutup, terdapat satu item material bernilai tinggi yang masih menyisakan saldo outstanding:</t>
        </is>
      </c>
    </row>
    <row r="28" ht="20" customHeight="1" s="31">
      <c r="B28" s="63" t="inlineStr">
        <is>
          <t>- Deskripsi Item: Pembayaran PBB JV 2 Summarecon Tahun 2026</t>
        </is>
      </c>
    </row>
    <row r="29" ht="20" customHeight="1" s="31">
      <c r="B29" s="63" t="inlineStr">
        <is>
          <t>- Nomor Voucher Pengajuan: PMT2/BK/2602/0092</t>
        </is>
      </c>
    </row>
    <row r="30" ht="20" customHeight="1" s="31">
      <c r="B30" s="63" t="inlineStr">
        <is>
          <t>- Nilai Advance Awal: Rp 422,974,179</t>
        </is>
      </c>
    </row>
    <row r="31" ht="34" customHeight="1" s="31">
      <c r="B31" s="63" t="inlineStr">
        <is>
          <t>- Realisasi Diterima: Rp 315,869,963 (Ref. Voucher Penerimaan: BCA1/BM/2604/0069 - Penerimaan Pembayaran PBB MSCM AJB JV 2)</t>
        </is>
      </c>
    </row>
    <row r="32" ht="20" customHeight="1" s="31">
      <c r="B32" s="63" t="inlineStr">
        <is>
          <t>- Sisa Saldo Terbuka (Outstanding): Rp 107,104,216</t>
        </is>
      </c>
    </row>
    <row r="33" ht="34" customHeight="1" s="31">
      <c r="B33" s="62" t="inlineStr">
        <is>
          <t>Catatan Analis: Sisa saldo sebesar Rp 107.104.216 memerlukan monitoring ketat karena menyerap porsi terbesar dari total outstanding bulan ini.</t>
        </is>
      </c>
    </row>
    <row r="34" ht="24" customHeight="1" s="31">
      <c r="B34" s="60" t="inlineStr">
        <is>
          <t>3. Penyelesaian Multi-Voucher Sukses (Styling Apartemen)</t>
        </is>
      </c>
      <c r="C34" s="61" t="n"/>
      <c r="D34" s="61" t="n"/>
      <c r="E34" s="61" t="n"/>
      <c r="F34" s="61" t="n"/>
      <c r="G34" s="61" t="n"/>
      <c r="H34" s="61" t="n"/>
      <c r="I34" s="61" t="n"/>
      <c r="J34" s="61" t="n"/>
      <c r="K34" s="61" t="n"/>
      <c r="L34" s="61" t="n"/>
    </row>
    <row r="35" ht="34" customHeight="1" s="31">
      <c r="B35" s="62" t="inlineStr">
        <is>
          <t>Sebagai catatan positif dalam siklus rekonsiliasi periode ini, seluruh rangkaian transaksi Multi-Voucher untuk proyek Styling Apartemen (tipe 2BR &amp; Studio) telah berhasil diselesaikan 100% secara akurat.</t>
        </is>
      </c>
    </row>
    <row r="36" ht="34" customHeight="1" s="31">
      <c r="B36" s="62" t="inlineStr">
        <is>
          <t>Rekonsiliasi komprehensif ini sukses memetakan pencocokan silang yang kompleks antara pembayaran ke vendor dan pengembalian sisa kelebihan dana kas (retur), tanpa ditemukan selisih pencatatan (zero discrepancy).</t>
        </is>
      </c>
    </row>
    <row r="37" ht="24" customHeight="1" s="31">
      <c r="B37" s="60" t="inlineStr">
        <is>
          <t>4. Rekomendasi Tindak Lanjut (Action Plan)</t>
        </is>
      </c>
      <c r="C37" s="61" t="n"/>
      <c r="D37" s="61" t="n"/>
      <c r="E37" s="61" t="n"/>
      <c r="F37" s="61" t="n"/>
      <c r="G37" s="61" t="n"/>
      <c r="H37" s="61" t="n"/>
      <c r="I37" s="61" t="n"/>
      <c r="J37" s="61" t="n"/>
      <c r="K37" s="61" t="n"/>
      <c r="L37" s="61" t="n"/>
    </row>
    <row r="38" ht="34" customHeight="1" s="31">
      <c r="B38" s="62" t="inlineStr">
        <is>
          <t>Untuk menjaga akuntabilitas keuangan dan mempercepat penutupan buku periode selanjutnya, berikut adalah langkah taktis yang direkomendasikan bagi tim Finance dan manajemen:</t>
        </is>
      </c>
    </row>
    <row r="39" ht="24" customHeight="1" s="31">
      <c r="B39" s="60" t="inlineStr">
        <is>
          <t>1. Penagihan &amp; Konfirmasi PBB JV 2 Summarecon: Tim Finance diinstruksikan untuk segera berkoordinasi dengan pihak terkait guna memastikan jadwal pelunasan sisa saldo outstanding sebesar Rp 107,104,216, serta memastikan kelengkapan dokumen pendukung untuk pencatatan full settlement pada siklus berikutnya.</t>
        </is>
      </c>
      <c r="C39" s="61" t="n"/>
      <c r="D39" s="61" t="n"/>
      <c r="E39" s="61" t="n"/>
      <c r="F39" s="61" t="n"/>
      <c r="G39" s="61" t="n"/>
      <c r="H39" s="61" t="n"/>
      <c r="I39" s="61" t="n"/>
      <c r="J39" s="61" t="n"/>
      <c r="K39" s="61" t="n"/>
      <c r="L39" s="61" t="n"/>
    </row>
    <row r="40" ht="24" customHeight="1" s="31">
      <c r="B40" s="60" t="inlineStr">
        <is>
          <t>2. Automasi Modul Advance: Memanfaatkan modul automation pada sistem keuangan SouthCity guna memonitor umur advance (aging of advances), sehingga potensi outstanding jangka panjang dapat terdeteksi lebih dini.</t>
        </is>
      </c>
      <c r="C40" s="61" t="n"/>
      <c r="D40" s="61" t="n"/>
      <c r="E40" s="61" t="n"/>
      <c r="F40" s="61" t="n"/>
      <c r="G40" s="61" t="n"/>
      <c r="H40" s="61" t="n"/>
      <c r="I40" s="61" t="n"/>
      <c r="J40" s="61" t="n"/>
      <c r="K40" s="61" t="n"/>
      <c r="L40" s="61" t="n"/>
    </row>
    <row r="41" ht="24" customHeight="1" s="31">
      <c r="B41" s="60" t="inlineStr">
        <is>
          <t>3. Standarisasi Proses Multi-Voucher: Menjadikan keberhasilan rekonsiliasi Styling Apartemen sebagai benchmark (standar operasional prosedur) untuk penanganan proyek-proyek multi-vendor di masa mendatang.</t>
        </is>
      </c>
      <c r="C41" s="61" t="n"/>
      <c r="D41" s="61" t="n"/>
      <c r="E41" s="61" t="n"/>
      <c r="F41" s="61" t="n"/>
      <c r="G41" s="61" t="n"/>
      <c r="H41" s="61" t="n"/>
      <c r="I41" s="61" t="n"/>
      <c r="J41" s="61" t="n"/>
      <c r="K41" s="61" t="n"/>
      <c r="L41" s="61" t="n"/>
    </row>
    <row r="42" ht="20" customHeight="1" s="31">
      <c r="B42" s="62" t="inlineStr">
        <is>
          <t>Dokumen ini bersifat rahasia dan ditujukan khusus untuk laporan internal kepada Direksi PT. Setiawan Dwi Tunggal.</t>
        </is>
      </c>
    </row>
    <row r="43" ht="15" customHeight="1" s="31"/>
  </sheetData>
  <mergeCells count="46">
    <mergeCell ref="B35:L35"/>
    <mergeCell ref="E10:G10"/>
    <mergeCell ref="B26:L26"/>
    <mergeCell ref="B7:F7"/>
    <mergeCell ref="B16:L16"/>
    <mergeCell ref="B25:L25"/>
    <mergeCell ref="E9:G9"/>
    <mergeCell ref="B22:L22"/>
    <mergeCell ref="B31:L31"/>
    <mergeCell ref="B18:L18"/>
    <mergeCell ref="B27:L27"/>
    <mergeCell ref="A2:L2"/>
    <mergeCell ref="E11:G11"/>
    <mergeCell ref="B11:C11"/>
    <mergeCell ref="B21:L21"/>
    <mergeCell ref="B39:L39"/>
    <mergeCell ref="B42:L42"/>
    <mergeCell ref="B8:C8"/>
    <mergeCell ref="B17:L17"/>
    <mergeCell ref="B23:L23"/>
    <mergeCell ref="B5:D5"/>
    <mergeCell ref="B13:L13"/>
    <mergeCell ref="B38:L38"/>
    <mergeCell ref="B29:L29"/>
    <mergeCell ref="H5:J5"/>
    <mergeCell ref="B4:D4"/>
    <mergeCell ref="B10:C10"/>
    <mergeCell ref="B19:L19"/>
    <mergeCell ref="B34:L34"/>
    <mergeCell ref="B37:L37"/>
    <mergeCell ref="B28:L28"/>
    <mergeCell ref="B9:C9"/>
    <mergeCell ref="B40:L40"/>
    <mergeCell ref="B30:L30"/>
    <mergeCell ref="E5:G5"/>
    <mergeCell ref="B15:L15"/>
    <mergeCell ref="B33:L33"/>
    <mergeCell ref="A1:L1"/>
    <mergeCell ref="E8:G8"/>
    <mergeCell ref="H4:J4"/>
    <mergeCell ref="B24:L24"/>
    <mergeCell ref="B20:L20"/>
    <mergeCell ref="E4:G4"/>
    <mergeCell ref="B36:L36"/>
    <mergeCell ref="B32:L32"/>
    <mergeCell ref="B41:L4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ColWidth="14.43" defaultRowHeight="15" customHeight="1"/>
  <cols>
    <col width="35" customWidth="1" style="31" min="1" max="1"/>
    <col width="20" customWidth="1" style="31" min="2" max="2"/>
    <col width="101" customWidth="1" style="31" min="3" max="3"/>
    <col width="15" customWidth="1" style="31" min="4" max="4"/>
    <col width="14" customWidth="1" style="31" min="5" max="5"/>
    <col width="146" customWidth="1" style="31" min="6" max="6"/>
    <col width="15" customWidth="1" style="31" min="7" max="8"/>
    <col width="15" customWidth="1" style="31" min="8" max="8"/>
    <col width="14" customWidth="1" style="31" min="9" max="9"/>
    <col width="8.710000000000001" customWidth="1" style="31" min="10" max="26"/>
  </cols>
  <sheetData>
    <row r="1">
      <c r="A1" s="1" t="inlineStr">
        <is>
          <t>PT. SETIAWAN DWI TUNGGAL</t>
        </is>
      </c>
      <c r="B1" s="2" t="n"/>
      <c r="C1" s="2" t="n"/>
      <c r="D1" s="3" t="n"/>
      <c r="E1" s="4" t="n"/>
      <c r="F1" s="4" t="n"/>
      <c r="G1" s="5" t="n"/>
      <c r="H1" s="2" t="n"/>
      <c r="I1" s="2" t="n"/>
    </row>
    <row r="2">
      <c r="A2" s="1" t="inlineStr">
        <is>
          <t>Uang Muka Pihak Ketiga Lainnya</t>
        </is>
      </c>
      <c r="B2" s="2" t="n"/>
      <c r="C2" s="2" t="n"/>
      <c r="D2" s="3" t="n"/>
      <c r="E2" s="4" t="n"/>
      <c r="F2" s="4" t="n"/>
      <c r="G2" s="5" t="n"/>
      <c r="H2" s="2" t="n"/>
      <c r="I2" s="2" t="n"/>
    </row>
    <row r="3">
      <c r="A3" s="1">
        <f>#REF!</f>
        <v/>
      </c>
      <c r="B3" s="2" t="n"/>
      <c r="C3" s="2" t="n"/>
      <c r="D3" s="3" t="n"/>
      <c r="E3" s="4" t="n"/>
      <c r="F3" s="4" t="n"/>
      <c r="G3" s="5" t="n"/>
      <c r="H3" s="2" t="n"/>
      <c r="I3" s="2" t="n"/>
    </row>
    <row r="4">
      <c r="A4" s="1" t="inlineStr">
        <is>
          <t>110.040.040.000 Advances - Other</t>
        </is>
      </c>
      <c r="B4" s="2" t="n"/>
      <c r="C4" s="2" t="n"/>
      <c r="D4" s="3" t="n"/>
      <c r="E4" s="2" t="n"/>
      <c r="F4" s="2" t="n"/>
    </row>
    <row r="5">
      <c r="A5" s="2" t="n"/>
      <c r="B5" s="2" t="n"/>
      <c r="C5" s="2" t="n"/>
      <c r="D5" s="3" t="n"/>
      <c r="E5" s="6" t="n"/>
      <c r="F5" s="32" t="n"/>
      <c r="G5" s="32" t="n"/>
      <c r="H5" s="2" t="n"/>
      <c r="I5" s="2" t="n"/>
    </row>
    <row r="6">
      <c r="A6" s="33" t="inlineStr">
        <is>
          <t>Date</t>
        </is>
      </c>
      <c r="B6" s="34" t="inlineStr">
        <is>
          <t>Voucher No</t>
        </is>
      </c>
      <c r="C6" s="34" t="inlineStr">
        <is>
          <t>Description</t>
        </is>
      </c>
      <c r="D6" s="35" t="inlineStr">
        <is>
          <t>Amount</t>
        </is>
      </c>
      <c r="E6" s="34" t="inlineStr">
        <is>
          <t>Realization</t>
        </is>
      </c>
      <c r="F6" s="36" t="n"/>
      <c r="G6" s="37" t="n"/>
      <c r="H6" s="38" t="inlineStr">
        <is>
          <t>Saldo</t>
        </is>
      </c>
      <c r="I6" s="39" t="inlineStr">
        <is>
          <t>Description</t>
        </is>
      </c>
    </row>
    <row r="7">
      <c r="A7" s="40" t="n"/>
      <c r="B7" s="41" t="n"/>
      <c r="C7" s="41" t="n"/>
      <c r="D7" s="41" t="n"/>
      <c r="E7" s="18" t="inlineStr">
        <is>
          <t>Date</t>
        </is>
      </c>
      <c r="F7" s="19" t="inlineStr">
        <is>
          <t>No. Voucher</t>
        </is>
      </c>
      <c r="G7" s="20" t="inlineStr">
        <is>
          <t>Amount</t>
        </is>
      </c>
      <c r="H7" s="42" t="n"/>
      <c r="I7" s="43" t="n"/>
    </row>
    <row r="8">
      <c r="A8" s="23" t="n">
        <v>46044</v>
      </c>
      <c r="B8" s="24" t="inlineStr">
        <is>
          <t>PMT2/BK/2601/0062</t>
        </is>
      </c>
      <c r="C8" s="24" t="inlineStr">
        <is>
          <t>TP01/PO/26010005 FURNITURE SHOW UNIT APARTEMEN THE PARC SM 1132 - BAR STOOL</t>
        </is>
      </c>
      <c r="D8" s="44" t="n">
        <v>2500000</v>
      </c>
      <c r="E8" s="45" t="inlineStr">
        <is>
          <t>2026-04-02</t>
        </is>
      </c>
      <c r="F8" s="46" t="inlineStr">
        <is>
          <t>ADV/BK/2604/0004</t>
        </is>
      </c>
      <c r="G8" s="44" t="n">
        <v>2500000</v>
      </c>
      <c r="H8" s="44">
        <f>D8-G8</f>
        <v/>
      </c>
      <c r="I8" s="30" t="n"/>
    </row>
    <row r="9">
      <c r="A9" s="23" t="n">
        <v>46044</v>
      </c>
      <c r="B9" s="24" t="inlineStr">
        <is>
          <t>PMT2/BK/2601/0064</t>
        </is>
      </c>
      <c r="C9" s="24" t="inlineStr">
        <is>
          <t>STYLING APARTEMEN THE PARC SM 1132 (2 BEDROOM)</t>
        </is>
      </c>
      <c r="D9" s="44" t="n">
        <v>25695900</v>
      </c>
      <c r="E9" s="45" t="inlineStr">
        <is>
          <t>2026-04-17</t>
        </is>
      </c>
      <c r="F9" s="46" t="inlineStr">
        <is>
          <t>ADV/BK/2604/0012, ADV/BK/2604/0013, ADV/BK/2604/0014, ADV/BK/2604/0015, ADV/BK/2604/0016, ADV/BK/2604/0017, ADV/BK/2604/0018, PMT2/BM/2604/0007</t>
        </is>
      </c>
      <c r="G9" s="44" t="n">
        <v>25695900</v>
      </c>
      <c r="H9" s="44">
        <f>D9-G9</f>
        <v/>
      </c>
      <c r="I9" s="30" t="n"/>
    </row>
    <row r="10">
      <c r="A10" s="23" t="n">
        <v>46044</v>
      </c>
      <c r="B10" s="24" t="inlineStr">
        <is>
          <t>PMT2/BK/2601/0065</t>
        </is>
      </c>
      <c r="C10" s="24" t="inlineStr">
        <is>
          <t>STYLING APARTEMEN THE PARC SM 1127 (STUDIO)</t>
        </is>
      </c>
      <c r="D10" s="44" t="n">
        <v>1583700</v>
      </c>
      <c r="E10" s="45" t="inlineStr">
        <is>
          <t>2026-04-17</t>
        </is>
      </c>
      <c r="F10" s="46" t="inlineStr">
        <is>
          <t>ADV/BK/2604/0019, ADV/BK/2604/0020, PMT2/BM/2604/0008</t>
        </is>
      </c>
      <c r="G10" s="44" t="n">
        <v>1583700</v>
      </c>
      <c r="H10" s="44">
        <f>D10-G10</f>
        <v/>
      </c>
      <c r="I10" s="30" t="n"/>
    </row>
    <row r="11">
      <c r="A11" s="23" t="n">
        <v>46044</v>
      </c>
      <c r="B11" s="24" t="inlineStr">
        <is>
          <t>PMT2/BK/2601/0068</t>
        </is>
      </c>
      <c r="C11" s="24" t="inlineStr">
        <is>
          <t>PAKET MEETING DI KIRANA RESTO &amp; CAFÉ</t>
        </is>
      </c>
      <c r="D11" s="44" t="n">
        <v>1750000</v>
      </c>
      <c r="E11" s="45" t="inlineStr">
        <is>
          <t>2026-04-02</t>
        </is>
      </c>
      <c r="F11" s="46" t="inlineStr">
        <is>
          <t>ADV/BK/2604/0005</t>
        </is>
      </c>
      <c r="G11" s="44" t="n">
        <v>1750000</v>
      </c>
      <c r="H11" s="44">
        <f>D11-G11</f>
        <v/>
      </c>
      <c r="I11" s="30" t="n"/>
    </row>
    <row r="12">
      <c r="A12" s="23" t="n">
        <v>46058</v>
      </c>
      <c r="B12" s="24" t="inlineStr">
        <is>
          <t>PMT2/BK/2602/0003</t>
        </is>
      </c>
      <c r="C12" s="24" t="inlineStr">
        <is>
          <t>TALENTA - BUSSINES FLAT FOR 4 MONTHS (TERM-3) PERIODE 15 FEBRUARI 2026 - 14 JUNI 2026</t>
        </is>
      </c>
      <c r="D12" s="44" t="n">
        <v>10355000</v>
      </c>
      <c r="E12" s="45" t="inlineStr">
        <is>
          <t>2026-04-17</t>
        </is>
      </c>
      <c r="F12" s="46" t="inlineStr">
        <is>
          <t>ADV/BK/2604/0008</t>
        </is>
      </c>
      <c r="G12" s="44" t="n">
        <v>10355000</v>
      </c>
      <c r="H12" s="44">
        <f>D12-G12</f>
        <v/>
      </c>
      <c r="I12" s="30" t="n"/>
    </row>
    <row r="13">
      <c r="A13" s="23" t="n">
        <v>46058</v>
      </c>
      <c r="B13" s="24" t="inlineStr">
        <is>
          <t>PMT2/BK/2602/0005</t>
        </is>
      </c>
      <c r="C13" s="24" t="inlineStr">
        <is>
          <t>FR01/PO/26010011 PENULIS WIKIPEDIA INDONESIA</t>
        </is>
      </c>
      <c r="D13" s="44" t="n">
        <v>304000</v>
      </c>
      <c r="E13" s="45" t="inlineStr">
        <is>
          <t>2026-04-09</t>
        </is>
      </c>
      <c r="F13" s="46" t="inlineStr">
        <is>
          <t>ADV/BK/2604/0007</t>
        </is>
      </c>
      <c r="G13" s="44" t="n">
        <v>304000</v>
      </c>
      <c r="H13" s="44">
        <f>D13-G13</f>
        <v/>
      </c>
      <c r="I13" s="30" t="n"/>
    </row>
    <row r="14">
      <c r="A14" s="23" t="n">
        <v>46065</v>
      </c>
      <c r="B14" s="24" t="inlineStr">
        <is>
          <t>PMT2/BK/2602/0071</t>
        </is>
      </c>
      <c r="C14" s="24" t="inlineStr">
        <is>
          <t>FR01/PO/26010007 EO PAMERAN DI THE PARK SAWANGAN 9-15 FEBRUARI 2026</t>
        </is>
      </c>
      <c r="D14" s="44" t="n">
        <v>25070000</v>
      </c>
      <c r="E14" s="45" t="inlineStr">
        <is>
          <t>2026-04-09</t>
        </is>
      </c>
      <c r="F14" s="46" t="inlineStr">
        <is>
          <t>ADV/BK/2604/0003</t>
        </is>
      </c>
      <c r="G14" s="44" t="n">
        <v>25070000</v>
      </c>
      <c r="H14" s="44">
        <f>D14-G14</f>
        <v/>
      </c>
      <c r="I14" s="30" t="n"/>
    </row>
    <row r="15">
      <c r="A15" s="23" t="n">
        <v>46078</v>
      </c>
      <c r="B15" s="24" t="inlineStr">
        <is>
          <t>PMT2/BK/2602/0092</t>
        </is>
      </c>
      <c r="C15" s="24" t="inlineStr">
        <is>
          <t>PEMBAYARAN PBB JV 2 SUMMARECON TAHUN 2026</t>
        </is>
      </c>
      <c r="D15" s="44" t="n">
        <v>422974179</v>
      </c>
      <c r="E15" s="45" t="inlineStr">
        <is>
          <t>2026-04-23</t>
        </is>
      </c>
      <c r="F15" s="46" t="inlineStr">
        <is>
          <t>BCA1/BM/2604/0069</t>
        </is>
      </c>
      <c r="G15" s="44" t="n">
        <v>315869963</v>
      </c>
      <c r="H15" s="44">
        <f>D15-G15</f>
        <v/>
      </c>
      <c r="I15" s="30" t="n"/>
    </row>
    <row r="16">
      <c r="A16" s="23" t="n">
        <v>46086</v>
      </c>
      <c r="B16" s="24" t="inlineStr">
        <is>
          <t>PMT2/BK/2603/0008</t>
        </is>
      </c>
      <c r="C16" s="24" t="inlineStr">
        <is>
          <t>HLJC/PO/26030003 BORDIR SERAGAM TENAGA KERJA HARIAN</t>
        </is>
      </c>
      <c r="D16" s="44" t="n">
        <v>2790000</v>
      </c>
      <c r="E16" s="45" t="inlineStr">
        <is>
          <t>2026-04-07</t>
        </is>
      </c>
      <c r="F16" s="46" t="inlineStr">
        <is>
          <t>ADV/BK/2604/0009</t>
        </is>
      </c>
      <c r="G16" s="44" t="n">
        <v>2790000</v>
      </c>
      <c r="H16" s="44">
        <f>D16-G16</f>
        <v/>
      </c>
      <c r="I16" s="30" t="n"/>
    </row>
    <row r="17">
      <c r="A17" s="23" t="n">
        <v>46086</v>
      </c>
      <c r="B17" s="24" t="inlineStr">
        <is>
          <t>PMT2/BK/2603/0009</t>
        </is>
      </c>
      <c r="C17" s="24" t="inlineStr">
        <is>
          <t>HLJC/PO/26030002 SERAGAM TENAGA KERJA HARIAN</t>
        </is>
      </c>
      <c r="D17" s="44" t="n">
        <v>3780000</v>
      </c>
      <c r="E17" s="45" t="inlineStr">
        <is>
          <t>2026-04-07</t>
        </is>
      </c>
      <c r="F17" s="46" t="inlineStr">
        <is>
          <t>ADV/BK/2604/0001</t>
        </is>
      </c>
      <c r="G17" s="44" t="n">
        <v>3780000</v>
      </c>
      <c r="H17" s="44">
        <f>D17-G17</f>
        <v/>
      </c>
      <c r="I17" s="30" t="n"/>
    </row>
    <row r="18">
      <c r="A18" s="23" t="n">
        <v>46086</v>
      </c>
      <c r="B18" s="24" t="inlineStr">
        <is>
          <t>PMT2/BK/2603/0016</t>
        </is>
      </c>
      <c r="C18" s="24" t="inlineStr">
        <is>
          <t>SEWA SPACE OPEN TABLE LOKASI KAMPUNG KECIL CINERE TGL 9-15 MARET 2026</t>
        </is>
      </c>
      <c r="D18" s="44" t="n">
        <v>4202100</v>
      </c>
      <c r="E18" s="45" t="inlineStr">
        <is>
          <t>2026-04-07</t>
        </is>
      </c>
      <c r="F18" s="46" t="inlineStr">
        <is>
          <t>ADV/BK/2604/0006</t>
        </is>
      </c>
      <c r="G18" s="44" t="n">
        <v>4202100</v>
      </c>
      <c r="H18" s="44">
        <f>D18-G18</f>
        <v/>
      </c>
      <c r="I18" s="30" t="n"/>
    </row>
    <row r="19">
      <c r="A19" s="23" t="n">
        <v>46086</v>
      </c>
      <c r="B19" s="24" t="inlineStr">
        <is>
          <t>PMT2/BK/2603/0019</t>
        </is>
      </c>
      <c r="C19" s="24" t="inlineStr">
        <is>
          <t>TP01/PO/26010003 FURNITURE SHOW UNIT APARTEMEN THE PARC SM 1132 - LEMARI KIDS ROOM - PELUNASAN 50%</t>
        </is>
      </c>
      <c r="D19" s="44" t="n">
        <v>3300000</v>
      </c>
      <c r="E19" s="45" t="inlineStr">
        <is>
          <t>2026-04-14</t>
        </is>
      </c>
      <c r="F19" s="46" t="inlineStr">
        <is>
          <t>ADV/BK/2604/0010</t>
        </is>
      </c>
      <c r="G19" s="44" t="n">
        <v>3300000</v>
      </c>
      <c r="H19" s="44">
        <f>D19-G19</f>
        <v/>
      </c>
      <c r="I19" s="30" t="n"/>
    </row>
    <row r="20">
      <c r="A20" s="23" t="n">
        <v>46093</v>
      </c>
      <c r="B20" s="24" t="inlineStr">
        <is>
          <t>PMT2/BK/2603/0039</t>
        </is>
      </c>
      <c r="C20" s="24" t="inlineStr">
        <is>
          <t>UM ACARA BUKA PUASA BERSAMA KARYAWAN SOUTHCITY 13 MARET 2026</t>
        </is>
      </c>
      <c r="D20" s="44" t="n">
        <v>3500000</v>
      </c>
      <c r="E20" s="45" t="inlineStr">
        <is>
          <t>2026-04-02</t>
        </is>
      </c>
      <c r="F20" s="46" t="inlineStr">
        <is>
          <t>PMT2/BK/2604/0006</t>
        </is>
      </c>
      <c r="G20" s="44" t="n">
        <v>3500000</v>
      </c>
      <c r="H20" s="44">
        <f>D20-G20</f>
        <v/>
      </c>
      <c r="I20" s="30" t="n"/>
    </row>
    <row r="21" ht="15.75" customHeight="1" s="31">
      <c r="A21" s="23" t="n">
        <v>46095</v>
      </c>
      <c r="B21" s="24" t="inlineStr">
        <is>
          <t>BCA2/BK/2603/0049</t>
        </is>
      </c>
      <c r="C21" s="24" t="inlineStr">
        <is>
          <t>ADVANCE PEMBAYARAN KARTU KREDIT BCA  UNTUK TAGIHAN DROPBOX PERIODE 11/3/2026 - 11/3/2027</t>
        </is>
      </c>
      <c r="D21" s="44" t="n">
        <v>60000000</v>
      </c>
      <c r="E21" s="45" t="inlineStr">
        <is>
          <t>2026-04-01</t>
        </is>
      </c>
      <c r="F21" s="46" t="inlineStr">
        <is>
          <t>BCA2/BK/2604/0026</t>
        </is>
      </c>
      <c r="G21" s="44" t="n">
        <v>60000000</v>
      </c>
      <c r="H21" s="44">
        <f>D21-G21</f>
        <v/>
      </c>
      <c r="I21" s="30" t="n"/>
    </row>
    <row r="22" ht="15.75" customHeight="1" s="31">
      <c r="A22" s="23" t="n">
        <v>46107</v>
      </c>
      <c r="B22" s="24" t="inlineStr">
        <is>
          <t>PMT2/BK/2603/0078</t>
        </is>
      </c>
      <c r="C22" s="24" t="inlineStr">
        <is>
          <t>UM COMPLIMENTARY SHOW UNIT THE PARC BULAN MARET 2026</t>
        </is>
      </c>
      <c r="D22" s="44" t="n">
        <v>2602000</v>
      </c>
      <c r="E22" s="45" t="inlineStr">
        <is>
          <t>2026-04-08</t>
        </is>
      </c>
      <c r="F22" s="46" t="inlineStr">
        <is>
          <t>PMT2/BM/2604/0006</t>
        </is>
      </c>
      <c r="G22" s="44" t="n">
        <v>2602000</v>
      </c>
      <c r="H22" s="44">
        <f>D22-G22</f>
        <v/>
      </c>
      <c r="I22" s="30" t="n"/>
    </row>
    <row r="23" ht="15.75" customHeight="1" s="31">
      <c r="C23" s="47" t="inlineStr">
        <is>
          <t>TOTAL</t>
        </is>
      </c>
      <c r="D23" s="48">
        <f>SUM(D8:D22)</f>
        <v/>
      </c>
      <c r="G23" s="48">
        <f>SUM(G8:G22)</f>
        <v/>
      </c>
      <c r="H23" s="48">
        <f>SUM(H8:H22)</f>
        <v/>
      </c>
    </row>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8">
    <mergeCell ref="E5:G5"/>
    <mergeCell ref="H6:H7"/>
    <mergeCell ref="I6:I7"/>
    <mergeCell ref="C6:C7"/>
    <mergeCell ref="A6:A7"/>
    <mergeCell ref="D6:D7"/>
    <mergeCell ref="B6:B7"/>
    <mergeCell ref="E6:G6"/>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ego pamungkas</dc:creator>
  <dcterms:created xmlns:dcterms="http://purl.org/dc/terms/" xmlns:xsi="http://www.w3.org/2001/XMLSchema-instance" xsi:type="dcterms:W3CDTF">2026-10-01T07:21:33Z</dcterms:created>
  <dcterms:modified xmlns:dcterms="http://purl.org/dc/terms/" xmlns:xsi="http://www.w3.org/2001/XMLSchema-instance" xsi:type="dcterms:W3CDTF">2026-10-04T18:04:21Z</dcterms:modified>
</cp:coreProperties>
</file>